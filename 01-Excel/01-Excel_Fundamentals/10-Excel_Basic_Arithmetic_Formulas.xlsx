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enerative_AI\Machine_Learning_Algorithms\Modern Data Analytics\01-Excel\01-Excel_Fundamentals\"/>
    </mc:Choice>
  </mc:AlternateContent>
  <xr:revisionPtr revIDLastSave="0" documentId="13_ncr:1_{CA66EEE9-B85B-4979-B8FA-06D4976FD6CB}" xr6:coauthVersionLast="47" xr6:coauthVersionMax="47" xr10:uidLastSave="{00000000-0000-0000-0000-000000000000}"/>
  <bookViews>
    <workbookView xWindow="-108" yWindow="-108" windowWidth="23256" windowHeight="12456" xr2:uid="{31DE2E65-A230-4E2D-9DBB-53A9441514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2" i="1" l="1"/>
  <c r="E230" i="1"/>
  <c r="D230" i="1"/>
  <c r="C236" i="1"/>
  <c r="C224" i="1"/>
  <c r="E163" i="1"/>
  <c r="C163" i="1"/>
  <c r="C159" i="1"/>
  <c r="D159" i="1" s="1"/>
  <c r="D155" i="1"/>
  <c r="D207" i="1"/>
  <c r="C216" i="1"/>
  <c r="C213" i="1"/>
  <c r="C218" i="1" s="1"/>
  <c r="C198" i="1"/>
  <c r="D198" i="1" s="1"/>
  <c r="B188" i="1"/>
  <c r="C188" i="1" s="1"/>
  <c r="B185" i="1"/>
  <c r="C185" i="1" s="1"/>
  <c r="C180" i="1"/>
  <c r="A180" i="1"/>
  <c r="F170" i="1"/>
  <c r="D150" i="1"/>
  <c r="C143" i="1"/>
  <c r="E143" i="1" s="1"/>
  <c r="C136" i="1"/>
  <c r="D136" i="1" s="1"/>
  <c r="C131" i="1"/>
  <c r="D131" i="1" s="1"/>
  <c r="D120" i="1"/>
  <c r="D121" i="1"/>
  <c r="D122" i="1"/>
  <c r="B114" i="1"/>
  <c r="C114" i="1" s="1"/>
  <c r="D106" i="1"/>
  <c r="C101" i="1"/>
  <c r="C98" i="1"/>
  <c r="C93" i="1"/>
  <c r="B88" i="1"/>
  <c r="C88" i="1" s="1"/>
  <c r="B83" i="1"/>
  <c r="C83" i="1" s="1"/>
  <c r="B77" i="1"/>
  <c r="C77" i="1" s="1"/>
  <c r="C72" i="1"/>
  <c r="C67" i="1"/>
  <c r="C62" i="1"/>
  <c r="B57" i="1"/>
  <c r="B56" i="1"/>
  <c r="D47" i="1"/>
  <c r="A43" i="1"/>
  <c r="C39" i="1"/>
  <c r="C35" i="1"/>
  <c r="C31" i="1"/>
  <c r="C27" i="1"/>
  <c r="C23" i="1"/>
  <c r="C18" i="1"/>
  <c r="C13" i="1"/>
  <c r="C8" i="1"/>
  <c r="D124" i="1" l="1"/>
  <c r="F98" i="1"/>
</calcChain>
</file>

<file path=xl/sharedStrings.xml><?xml version="1.0" encoding="utf-8"?>
<sst xmlns="http://schemas.openxmlformats.org/spreadsheetml/2006/main" count="175" uniqueCount="132">
  <si>
    <t>Excel - Basic Arithmetic Formulas</t>
  </si>
  <si>
    <t>Basic Level Interview Questions</t>
  </si>
  <si>
    <t>1.    Add two numbers: 25 and 15</t>
  </si>
  <si>
    <t>A</t>
  </si>
  <si>
    <t>B</t>
  </si>
  <si>
    <t>C</t>
  </si>
  <si>
    <t>2.    Subtract 35 from 100</t>
  </si>
  <si>
    <t>3.    Multiply 12 by 8</t>
  </si>
  <si>
    <t>4.    Divide 144 by 12</t>
  </si>
  <si>
    <t>5.     Cell A27 contains 250 and B27  contains 150. Add both values</t>
  </si>
  <si>
    <t>6.     Cell A31 contains 500 and B31  contains 175. Find the difference</t>
  </si>
  <si>
    <t>7.    Cell A35 contains 25 and B35  contains 16. Multiply the values</t>
  </si>
  <si>
    <t>8.    Cell A39 contains 720 and B39  contains 9. Divide A2 by B2</t>
  </si>
  <si>
    <t>9.     Find 10% of ₹2,000 stored in cell A43</t>
  </si>
  <si>
    <t>10.    A47 = 20, B47 = 10, and C47 = 5. Add all three values</t>
  </si>
  <si>
    <t>Intemediate Level Interview Questions</t>
  </si>
  <si>
    <t>11.    Calculate the total sales</t>
  </si>
  <si>
    <t>Product</t>
  </si>
  <si>
    <t>Sales</t>
  </si>
  <si>
    <t>12.   An employee earns ₹35,000 and spends ₹12,000. Calculate the remaining amount</t>
  </si>
  <si>
    <t>S</t>
  </si>
  <si>
    <t>Remaining Amount</t>
  </si>
  <si>
    <t>13.   A shop sells 18 items at ₹250 each. Calculate total revenue</t>
  </si>
  <si>
    <t>Total Revenue</t>
  </si>
  <si>
    <t>14.    A company earns ₹12,000 from 8 orders equally. Calculate revenue per order</t>
  </si>
  <si>
    <t>15.    Calculate a 15% discount on a product costing ₹4,000. Calculate price after discount also.</t>
  </si>
  <si>
    <t>D</t>
  </si>
  <si>
    <t>PD</t>
  </si>
  <si>
    <t>16.    Find the final price after a 20% discount on ₹2,500</t>
  </si>
  <si>
    <t>FP</t>
  </si>
  <si>
    <t>17.    Calculate the bill including 18% tax on ₹5,000</t>
  </si>
  <si>
    <t>T</t>
  </si>
  <si>
    <t>TB</t>
  </si>
  <si>
    <t>18.     An employee's salary increases from ₹40,000 by ₹5,000. Calculate the percentage increase</t>
  </si>
  <si>
    <t>I</t>
  </si>
  <si>
    <t>P</t>
  </si>
  <si>
    <t>19.    A shop purchases 30 units at ₹150 each and sells all units at ₹200 each. Calculate profit</t>
  </si>
  <si>
    <t>TCP</t>
  </si>
  <si>
    <t>Q</t>
  </si>
  <si>
    <t>CP</t>
  </si>
  <si>
    <t>SP</t>
  </si>
  <si>
    <t>TSP</t>
  </si>
  <si>
    <t>Profit</t>
  </si>
  <si>
    <t>20.     Three monthly expenses are ₹8,000, ₹6,500, and ₹4,500. Calculate the average expense using arithmetic formulas</t>
  </si>
  <si>
    <t>Average</t>
  </si>
  <si>
    <t>Analytical Based Interview Questions</t>
  </si>
  <si>
    <t>21.     Calculate net sales after a discount.
A company sells products worth ₹50,000 and gives a 10% discount</t>
  </si>
  <si>
    <t>Price</t>
  </si>
  <si>
    <t>Discount</t>
  </si>
  <si>
    <t>Net Sales</t>
  </si>
  <si>
    <t>22.    Calculate total revenue from three products</t>
  </si>
  <si>
    <t>Quantity</t>
  </si>
  <si>
    <t>Unit Price</t>
  </si>
  <si>
    <t>Revenue</t>
  </si>
  <si>
    <t>23.    Calculate profit margin as a percentage</t>
  </si>
  <si>
    <t>Revenue = ₹80,000 and total cost = ₹60,000</t>
  </si>
  <si>
    <t>Profit %</t>
  </si>
  <si>
    <t>24.    Calculate the percentage decrease in monthly expenses</t>
  </si>
  <si>
    <t>PE</t>
  </si>
  <si>
    <t>CE</t>
  </si>
  <si>
    <t>Decrease</t>
  </si>
  <si>
    <t>Decrease %</t>
  </si>
  <si>
    <r>
      <rPr>
        <b/>
        <sz val="11"/>
        <color theme="1"/>
        <rFont val="Aptos Narrow"/>
        <family val="2"/>
        <scheme val="minor"/>
      </rPr>
      <t>Observation</t>
    </r>
    <r>
      <rPr>
        <sz val="11"/>
        <color theme="1"/>
        <rFont val="Aptos Narrow"/>
        <family val="2"/>
        <scheme val="minor"/>
      </rPr>
      <t>:    There is a 20% decrease in the monthly expense as compared to the previous expense.</t>
    </r>
  </si>
  <si>
    <t>25.    Calculate the final invoice amount after a discount and tax</t>
  </si>
  <si>
    <t>Product Price</t>
  </si>
  <si>
    <t>Discount %</t>
  </si>
  <si>
    <t>Tax %</t>
  </si>
  <si>
    <t>Tax Price</t>
  </si>
  <si>
    <t>26.       Calculate total employee salary cost</t>
  </si>
  <si>
    <t>A company has 12 employees, each earning ₹35,000 monthly. Each employee receives an additional allowance of ₹2,000</t>
  </si>
  <si>
    <t>TE</t>
  </si>
  <si>
    <t>TESC</t>
  </si>
  <si>
    <t>30.     Calculate the amount remaining after expenses and savings</t>
  </si>
  <si>
    <t>Monthly income is ₹60,000. Rent is ₹15,000, food is ₹8,000, travel is ₹4,000, and planned savings are ₹10,000</t>
  </si>
  <si>
    <t>MI</t>
  </si>
  <si>
    <t>R</t>
  </si>
  <si>
    <t>F</t>
  </si>
  <si>
    <t>PS</t>
  </si>
  <si>
    <t>AR</t>
  </si>
  <si>
    <t>Coding Based Interview Questions</t>
  </si>
  <si>
    <t>31.      What is the difference between =A174+B174*C174 and =(A174+B174)*C174?</t>
  </si>
  <si>
    <t>32.     A product price increases by 20% and then decreases by 20%. Is the final price unchanged?</t>
  </si>
  <si>
    <t>Original Product Price</t>
  </si>
  <si>
    <t>Increase</t>
  </si>
  <si>
    <t>Product Price after increase</t>
  </si>
  <si>
    <t>Product Price after decrease</t>
  </si>
  <si>
    <t>Observations: ---- No. The final product price is not as same as the original product price. We can see that the final product price is 960 which is 40 rupees less than the original product price that is 1000.</t>
  </si>
  <si>
    <t>33.     Calculate the selling price required to earn a 25% markup on cost</t>
  </si>
  <si>
    <t>Let cost price = 800</t>
  </si>
  <si>
    <t>cost price</t>
  </si>
  <si>
    <t>markup %</t>
  </si>
  <si>
    <t>markup value</t>
  </si>
  <si>
    <t xml:space="preserve">Selling price </t>
  </si>
  <si>
    <t>36.       Calculate the weighted average price of purchased items.    A company buys 100 units at ₹20 each and 200 units at ₹25 each</t>
  </si>
  <si>
    <t>TE1</t>
  </si>
  <si>
    <t>CP1</t>
  </si>
  <si>
    <t>V1</t>
  </si>
  <si>
    <t>TE2</t>
  </si>
  <si>
    <t>CP2</t>
  </si>
  <si>
    <t>V2</t>
  </si>
  <si>
    <t>Weighted average value</t>
  </si>
  <si>
    <t>35.     An employee works 8 hours per day for 22 days and earns ₹250 per hour. Calculate total earnings</t>
  </si>
  <si>
    <t>TS</t>
  </si>
  <si>
    <t>Target</t>
  </si>
  <si>
    <t>% achivement</t>
  </si>
  <si>
    <t>actual sales</t>
  </si>
  <si>
    <t>27.      Calculate inventory value after sales</t>
  </si>
  <si>
    <t>A warehouse starts with 500 units costing ₹120 each. It sells 180 units</t>
  </si>
  <si>
    <t>Inventory value after sales</t>
  </si>
  <si>
    <t>28.       Calculate the revenue growth rate</t>
  </si>
  <si>
    <t>Increased Revenue</t>
  </si>
  <si>
    <t>Last Year Revenue</t>
  </si>
  <si>
    <t>Current Year Revenue</t>
  </si>
  <si>
    <t>% Revenue Growth rate</t>
  </si>
  <si>
    <t>M</t>
  </si>
  <si>
    <t>L</t>
  </si>
  <si>
    <t>Total cost</t>
  </si>
  <si>
    <t>Units</t>
  </si>
  <si>
    <t>29.    Calculate the total cost per manufactured unit. A factory spends ₹1,20,000 on materials and ₹80,000 on labor to produce 2,000 units.</t>
  </si>
  <si>
    <t>TC</t>
  </si>
  <si>
    <t>Total cost/unit</t>
  </si>
  <si>
    <t>37.       Calculate the percentage achievement of actual sales to target</t>
  </si>
  <si>
    <t>39.     How can you avoid a #DIV/0! error when calculating revenue per unit if the unit count could be zero?</t>
  </si>
  <si>
    <t>units</t>
  </si>
  <si>
    <t>Total revenue per unit</t>
  </si>
  <si>
    <t>38.    Calculate total cost when fixed and variable costs are given.   Fixed cost = ₹25,000, variable cost per unit = ₹40, and production = 800 units.</t>
  </si>
  <si>
    <t>Fixed cost</t>
  </si>
  <si>
    <t>Variable cost per unit</t>
  </si>
  <si>
    <t>production</t>
  </si>
  <si>
    <t>Total Variable cost</t>
  </si>
  <si>
    <t>34.     Calculate the selling price required to achieve a 20% profit margin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</si>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</sst>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wrapText="1"/>
    </xf>
    <xf numFmtId="1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6154-3931-4853-83FC-D6DC2B195935}">
  <dimension ref="A1:S236"/>
  <sheetViews>
    <sheetView tabSelected="1" topLeftCell="A210" workbookViewId="0">
      <selection activeCell="F218" sqref="F218"/>
    </sheetView>
  </sheetViews>
  <sheetFormatPr defaultRowHeight="14.4" x14ac:dyDescent="0.3"/>
  <cols>
    <col min="1" max="1" width="30.44140625" customWidth="1"/>
    <col min="2" max="2" width="17.5546875" customWidth="1"/>
    <col min="3" max="3" width="24.21875" bestFit="1" customWidth="1"/>
    <col min="4" max="4" width="21.77734375" bestFit="1" customWidth="1"/>
  </cols>
  <sheetData>
    <row r="1" spans="1:19" x14ac:dyDescent="0.3">
      <c r="A1" s="2" t="s">
        <v>0</v>
      </c>
      <c r="B1" s="1"/>
      <c r="C1" s="1"/>
      <c r="D1" s="1"/>
      <c r="E1" s="1"/>
      <c r="F1" s="1"/>
      <c r="G1" s="1"/>
      <c r="H1" s="1"/>
      <c r="I1" s="1"/>
      <c r="J1" s="1"/>
      <c r="K1" s="1"/>
      <c r="L1" s="1"/>
      <c r="M1" s="1"/>
      <c r="N1" s="1"/>
      <c r="O1" s="1"/>
      <c r="P1" s="1"/>
      <c r="Q1" s="1"/>
      <c r="R1" s="1"/>
      <c r="S1" s="1"/>
    </row>
    <row r="3" spans="1:19" x14ac:dyDescent="0.3">
      <c r="A3" s="2" t="s">
        <v>1</v>
      </c>
      <c r="B3" s="1"/>
      <c r="C3" s="1"/>
      <c r="D3" s="1"/>
      <c r="E3" s="1"/>
      <c r="F3" s="1"/>
      <c r="G3" s="1"/>
      <c r="H3" s="1"/>
      <c r="I3" s="1"/>
      <c r="J3" s="1"/>
      <c r="K3" s="1"/>
      <c r="L3" s="1"/>
      <c r="M3" s="1"/>
      <c r="N3" s="1"/>
      <c r="O3" s="1"/>
      <c r="P3" s="1"/>
      <c r="Q3" s="1"/>
      <c r="R3" s="1"/>
      <c r="S3" s="1"/>
    </row>
    <row r="5" spans="1:19" x14ac:dyDescent="0.3">
      <c r="A5" t="s">
        <v>2</v>
      </c>
    </row>
    <row r="7" spans="1:19" x14ac:dyDescent="0.3">
      <c r="A7" t="s">
        <v>3</v>
      </c>
      <c r="B7" t="s">
        <v>4</v>
      </c>
      <c r="C7" t="s">
        <v>5</v>
      </c>
    </row>
    <row r="8" spans="1:19" x14ac:dyDescent="0.3">
      <c r="A8">
        <v>25</v>
      </c>
      <c r="B8">
        <v>15</v>
      </c>
      <c r="C8">
        <f>A8+B8</f>
        <v>40</v>
      </c>
    </row>
    <row r="10" spans="1:19" x14ac:dyDescent="0.3">
      <c r="A10" t="s">
        <v>6</v>
      </c>
    </row>
    <row r="12" spans="1:19" x14ac:dyDescent="0.3">
      <c r="A12" t="s">
        <v>3</v>
      </c>
      <c r="B12" t="s">
        <v>4</v>
      </c>
      <c r="C12" t="s">
        <v>5</v>
      </c>
    </row>
    <row r="13" spans="1:19" x14ac:dyDescent="0.3">
      <c r="A13">
        <v>100</v>
      </c>
      <c r="B13">
        <v>35</v>
      </c>
      <c r="C13">
        <f>A13-B13</f>
        <v>65</v>
      </c>
    </row>
    <row r="15" spans="1:19" x14ac:dyDescent="0.3">
      <c r="A15" t="s">
        <v>7</v>
      </c>
    </row>
    <row r="17" spans="1:3" x14ac:dyDescent="0.3">
      <c r="A17" t="s">
        <v>3</v>
      </c>
      <c r="B17" t="s">
        <v>4</v>
      </c>
      <c r="C17" t="s">
        <v>5</v>
      </c>
    </row>
    <row r="18" spans="1:3" x14ac:dyDescent="0.3">
      <c r="A18">
        <v>12</v>
      </c>
      <c r="B18">
        <v>8</v>
      </c>
      <c r="C18">
        <f>A18*B18</f>
        <v>96</v>
      </c>
    </row>
    <row r="20" spans="1:3" x14ac:dyDescent="0.3">
      <c r="A20" t="s">
        <v>8</v>
      </c>
    </row>
    <row r="22" spans="1:3" x14ac:dyDescent="0.3">
      <c r="A22" t="s">
        <v>3</v>
      </c>
      <c r="B22" t="s">
        <v>4</v>
      </c>
      <c r="C22" t="s">
        <v>5</v>
      </c>
    </row>
    <row r="23" spans="1:3" x14ac:dyDescent="0.3">
      <c r="A23">
        <v>144</v>
      </c>
      <c r="B23">
        <v>12</v>
      </c>
      <c r="C23">
        <f>A23/B23</f>
        <v>12</v>
      </c>
    </row>
    <row r="25" spans="1:3" x14ac:dyDescent="0.3">
      <c r="A25" t="s">
        <v>9</v>
      </c>
    </row>
    <row r="27" spans="1:3" x14ac:dyDescent="0.3">
      <c r="A27">
        <v>250</v>
      </c>
      <c r="B27">
        <v>150</v>
      </c>
      <c r="C27">
        <f>A27+B27</f>
        <v>400</v>
      </c>
    </row>
    <row r="29" spans="1:3" x14ac:dyDescent="0.3">
      <c r="A29" t="s">
        <v>10</v>
      </c>
    </row>
    <row r="31" spans="1:3" x14ac:dyDescent="0.3">
      <c r="A31">
        <v>500</v>
      </c>
      <c r="B31">
        <v>175</v>
      </c>
      <c r="C31">
        <f>A31-B31</f>
        <v>325</v>
      </c>
    </row>
    <row r="33" spans="1:4" x14ac:dyDescent="0.3">
      <c r="A33" t="s">
        <v>11</v>
      </c>
    </row>
    <row r="35" spans="1:4" x14ac:dyDescent="0.3">
      <c r="A35">
        <v>25</v>
      </c>
      <c r="B35">
        <v>16</v>
      </c>
      <c r="C35">
        <f>A35*B35</f>
        <v>400</v>
      </c>
    </row>
    <row r="37" spans="1:4" x14ac:dyDescent="0.3">
      <c r="A37" t="s">
        <v>12</v>
      </c>
    </row>
    <row r="39" spans="1:4" x14ac:dyDescent="0.3">
      <c r="A39">
        <v>720</v>
      </c>
      <c r="B39">
        <v>9</v>
      </c>
      <c r="C39">
        <f>A39/B39</f>
        <v>80</v>
      </c>
    </row>
    <row r="41" spans="1:4" x14ac:dyDescent="0.3">
      <c r="A41" t="s">
        <v>13</v>
      </c>
    </row>
    <row r="43" spans="1:4" x14ac:dyDescent="0.3">
      <c r="A43">
        <f>(10/100)*2000</f>
        <v>200</v>
      </c>
    </row>
    <row r="45" spans="1:4" x14ac:dyDescent="0.3">
      <c r="A45" t="s">
        <v>14</v>
      </c>
    </row>
    <row r="47" spans="1:4" x14ac:dyDescent="0.3">
      <c r="A47">
        <v>20</v>
      </c>
      <c r="B47">
        <v>10</v>
      </c>
      <c r="C47">
        <v>5</v>
      </c>
      <c r="D47">
        <f>A47+B47+C47</f>
        <v>35</v>
      </c>
    </row>
    <row r="49" spans="1:19" x14ac:dyDescent="0.3">
      <c r="A49" s="2" t="s">
        <v>15</v>
      </c>
      <c r="B49" s="1"/>
      <c r="C49" s="1"/>
      <c r="D49" s="1"/>
      <c r="E49" s="1"/>
      <c r="F49" s="1"/>
      <c r="G49" s="1"/>
      <c r="H49" s="1"/>
      <c r="I49" s="1"/>
      <c r="J49" s="1"/>
      <c r="K49" s="1"/>
      <c r="L49" s="1"/>
      <c r="M49" s="1"/>
      <c r="N49" s="1"/>
      <c r="O49" s="1"/>
      <c r="P49" s="1"/>
      <c r="Q49" s="1"/>
      <c r="R49" s="1"/>
      <c r="S49" s="1"/>
    </row>
    <row r="51" spans="1:19" x14ac:dyDescent="0.3">
      <c r="A51" t="s">
        <v>16</v>
      </c>
    </row>
    <row r="53" spans="1:19" x14ac:dyDescent="0.3">
      <c r="A53" t="s">
        <v>17</v>
      </c>
      <c r="B53" t="s">
        <v>18</v>
      </c>
    </row>
    <row r="54" spans="1:19" x14ac:dyDescent="0.3">
      <c r="A54" t="s">
        <v>3</v>
      </c>
      <c r="B54">
        <v>5000</v>
      </c>
    </row>
    <row r="55" spans="1:19" x14ac:dyDescent="0.3">
      <c r="A55" t="s">
        <v>4</v>
      </c>
      <c r="B55">
        <v>3500</v>
      </c>
    </row>
    <row r="56" spans="1:19" x14ac:dyDescent="0.3">
      <c r="B56">
        <f>SUM(B54:B55)</f>
        <v>8500</v>
      </c>
    </row>
    <row r="57" spans="1:19" x14ac:dyDescent="0.3">
      <c r="B57">
        <f>B54+B55</f>
        <v>8500</v>
      </c>
    </row>
    <row r="59" spans="1:19" x14ac:dyDescent="0.3">
      <c r="A59" t="s">
        <v>19</v>
      </c>
    </row>
    <row r="61" spans="1:19" x14ac:dyDescent="0.3">
      <c r="A61" t="s">
        <v>3</v>
      </c>
      <c r="B61" t="s">
        <v>4</v>
      </c>
      <c r="C61" t="s">
        <v>21</v>
      </c>
    </row>
    <row r="62" spans="1:19" x14ac:dyDescent="0.3">
      <c r="A62">
        <v>35000</v>
      </c>
      <c r="B62">
        <v>12000</v>
      </c>
      <c r="C62">
        <f>A62-B62</f>
        <v>23000</v>
      </c>
    </row>
    <row r="64" spans="1:19" x14ac:dyDescent="0.3">
      <c r="A64" t="s">
        <v>22</v>
      </c>
    </row>
    <row r="66" spans="1:3" x14ac:dyDescent="0.3">
      <c r="A66" t="s">
        <v>3</v>
      </c>
      <c r="B66" t="s">
        <v>4</v>
      </c>
      <c r="C66" t="s">
        <v>23</v>
      </c>
    </row>
    <row r="67" spans="1:3" x14ac:dyDescent="0.3">
      <c r="A67">
        <v>18</v>
      </c>
      <c r="B67">
        <v>250</v>
      </c>
      <c r="C67">
        <f>A67*B67</f>
        <v>4500</v>
      </c>
    </row>
    <row r="69" spans="1:3" x14ac:dyDescent="0.3">
      <c r="A69" t="s">
        <v>24</v>
      </c>
    </row>
    <row r="71" spans="1:3" x14ac:dyDescent="0.3">
      <c r="A71" t="s">
        <v>3</v>
      </c>
      <c r="B71" t="s">
        <v>4</v>
      </c>
    </row>
    <row r="72" spans="1:3" x14ac:dyDescent="0.3">
      <c r="A72">
        <v>12000</v>
      </c>
      <c r="B72">
        <v>8</v>
      </c>
      <c r="C72">
        <f>A72/B72</f>
        <v>1500</v>
      </c>
    </row>
    <row r="74" spans="1:3" x14ac:dyDescent="0.3">
      <c r="A74" t="s">
        <v>25</v>
      </c>
    </row>
    <row r="76" spans="1:3" x14ac:dyDescent="0.3">
      <c r="A76" t="s">
        <v>3</v>
      </c>
      <c r="B76" t="s">
        <v>26</v>
      </c>
      <c r="C76" t="s">
        <v>27</v>
      </c>
    </row>
    <row r="77" spans="1:3" x14ac:dyDescent="0.3">
      <c r="A77">
        <v>4000</v>
      </c>
      <c r="B77">
        <f>(15/100*4000)</f>
        <v>600</v>
      </c>
      <c r="C77">
        <f>A77-B77</f>
        <v>3400</v>
      </c>
    </row>
    <row r="80" spans="1:3" x14ac:dyDescent="0.3">
      <c r="A80" t="s">
        <v>28</v>
      </c>
    </row>
    <row r="82" spans="1:3" x14ac:dyDescent="0.3">
      <c r="A82" t="s">
        <v>3</v>
      </c>
      <c r="B82" t="s">
        <v>26</v>
      </c>
      <c r="C82" t="s">
        <v>29</v>
      </c>
    </row>
    <row r="83" spans="1:3" x14ac:dyDescent="0.3">
      <c r="A83">
        <v>2500</v>
      </c>
      <c r="B83">
        <f>(20/100)*2500</f>
        <v>500</v>
      </c>
      <c r="C83">
        <f>A83-B83</f>
        <v>2000</v>
      </c>
    </row>
    <row r="85" spans="1:3" x14ac:dyDescent="0.3">
      <c r="A85" t="s">
        <v>30</v>
      </c>
    </row>
    <row r="87" spans="1:3" x14ac:dyDescent="0.3">
      <c r="A87" t="s">
        <v>3</v>
      </c>
      <c r="B87" t="s">
        <v>31</v>
      </c>
      <c r="C87" t="s">
        <v>32</v>
      </c>
    </row>
    <row r="88" spans="1:3" x14ac:dyDescent="0.3">
      <c r="A88">
        <v>5000</v>
      </c>
      <c r="B88">
        <f>(18/100)*A88</f>
        <v>900</v>
      </c>
      <c r="C88">
        <f>A88+B88</f>
        <v>5900</v>
      </c>
    </row>
    <row r="90" spans="1:3" x14ac:dyDescent="0.3">
      <c r="A90" t="s">
        <v>33</v>
      </c>
    </row>
    <row r="92" spans="1:3" x14ac:dyDescent="0.3">
      <c r="A92" t="s">
        <v>3</v>
      </c>
      <c r="B92" t="s">
        <v>34</v>
      </c>
      <c r="C92" t="s">
        <v>35</v>
      </c>
    </row>
    <row r="93" spans="1:3" x14ac:dyDescent="0.3">
      <c r="A93">
        <v>40000</v>
      </c>
      <c r="B93">
        <v>5000</v>
      </c>
      <c r="C93">
        <f>(B93/A93)*100</f>
        <v>12.5</v>
      </c>
    </row>
    <row r="95" spans="1:3" x14ac:dyDescent="0.3">
      <c r="A95" t="s">
        <v>36</v>
      </c>
    </row>
    <row r="97" spans="1:19" x14ac:dyDescent="0.3">
      <c r="A97" t="s">
        <v>38</v>
      </c>
      <c r="B97" t="s">
        <v>39</v>
      </c>
      <c r="C97" t="s">
        <v>37</v>
      </c>
      <c r="F97" t="s">
        <v>42</v>
      </c>
    </row>
    <row r="98" spans="1:19" x14ac:dyDescent="0.3">
      <c r="A98">
        <v>30</v>
      </c>
      <c r="B98">
        <v>150</v>
      </c>
      <c r="C98">
        <f>A98*B98</f>
        <v>4500</v>
      </c>
      <c r="F98">
        <f>C101-C98</f>
        <v>1500</v>
      </c>
    </row>
    <row r="100" spans="1:19" x14ac:dyDescent="0.3">
      <c r="A100" t="s">
        <v>38</v>
      </c>
      <c r="B100" t="s">
        <v>40</v>
      </c>
      <c r="C100" t="s">
        <v>41</v>
      </c>
    </row>
    <row r="101" spans="1:19" x14ac:dyDescent="0.3">
      <c r="A101">
        <v>30</v>
      </c>
      <c r="B101">
        <v>200</v>
      </c>
      <c r="C101">
        <f>A101*B101</f>
        <v>6000</v>
      </c>
    </row>
    <row r="103" spans="1:19" x14ac:dyDescent="0.3">
      <c r="A103" t="s">
        <v>43</v>
      </c>
    </row>
    <row r="105" spans="1:19" x14ac:dyDescent="0.3">
      <c r="A105" t="s">
        <v>3</v>
      </c>
      <c r="B105" t="s">
        <v>4</v>
      </c>
      <c r="C105" t="s">
        <v>5</v>
      </c>
      <c r="D105" t="s">
        <v>44</v>
      </c>
    </row>
    <row r="106" spans="1:19" x14ac:dyDescent="0.3">
      <c r="A106">
        <v>8000</v>
      </c>
      <c r="B106">
        <v>6500</v>
      </c>
      <c r="C106">
        <v>4500</v>
      </c>
      <c r="D106">
        <f>(A106+B106+C106)/3</f>
        <v>6333.333333333333</v>
      </c>
    </row>
    <row r="109" spans="1:19" x14ac:dyDescent="0.3">
      <c r="A109" s="2" t="s">
        <v>45</v>
      </c>
      <c r="B109" s="1"/>
      <c r="C109" s="1"/>
      <c r="D109" s="1"/>
      <c r="E109" s="1"/>
      <c r="F109" s="1"/>
      <c r="G109" s="1"/>
      <c r="H109" s="1"/>
      <c r="I109" s="1"/>
      <c r="J109" s="1"/>
      <c r="K109" s="1"/>
      <c r="L109" s="1"/>
      <c r="M109" s="1"/>
      <c r="N109" s="1"/>
      <c r="O109" s="1"/>
      <c r="P109" s="1"/>
      <c r="Q109" s="1"/>
      <c r="R109" s="1"/>
      <c r="S109" s="1"/>
    </row>
    <row r="111" spans="1:19" ht="201.6" x14ac:dyDescent="0.3">
      <c r="A111" s="3" t="s">
        <v>46</v>
      </c>
    </row>
    <row r="113" spans="1:4" x14ac:dyDescent="0.3">
      <c r="A113" t="s">
        <v>47</v>
      </c>
      <c r="B113" t="s">
        <v>48</v>
      </c>
      <c r="C113" t="s">
        <v>49</v>
      </c>
    </row>
    <row r="114" spans="1:4" x14ac:dyDescent="0.3">
      <c r="A114">
        <v>50000</v>
      </c>
      <c r="B114">
        <f>(10/100)*50000</f>
        <v>5000</v>
      </c>
      <c r="C114">
        <f>A114-B114</f>
        <v>45000</v>
      </c>
    </row>
    <row r="117" spans="1:4" x14ac:dyDescent="0.3">
      <c r="A117" t="s">
        <v>50</v>
      </c>
    </row>
    <row r="119" spans="1:4" x14ac:dyDescent="0.3">
      <c r="A119" t="s">
        <v>17</v>
      </c>
      <c r="B119" t="s">
        <v>51</v>
      </c>
      <c r="C119" t="s">
        <v>52</v>
      </c>
      <c r="D119" t="s">
        <v>53</v>
      </c>
    </row>
    <row r="120" spans="1:4" x14ac:dyDescent="0.3">
      <c r="A120" t="s">
        <v>3</v>
      </c>
      <c r="B120">
        <v>10</v>
      </c>
      <c r="C120">
        <v>200</v>
      </c>
      <c r="D120">
        <f>B120*C120</f>
        <v>2000</v>
      </c>
    </row>
    <row r="121" spans="1:4" x14ac:dyDescent="0.3">
      <c r="A121" t="s">
        <v>4</v>
      </c>
      <c r="B121">
        <v>15</v>
      </c>
      <c r="C121">
        <v>150</v>
      </c>
      <c r="D121">
        <f t="shared" ref="D121:D122" si="0">B121*C121</f>
        <v>2250</v>
      </c>
    </row>
    <row r="122" spans="1:4" x14ac:dyDescent="0.3">
      <c r="A122" t="s">
        <v>5</v>
      </c>
      <c r="B122">
        <v>20</v>
      </c>
      <c r="C122">
        <v>100</v>
      </c>
      <c r="D122">
        <f t="shared" si="0"/>
        <v>2000</v>
      </c>
    </row>
    <row r="124" spans="1:4" x14ac:dyDescent="0.3">
      <c r="C124" t="s">
        <v>23</v>
      </c>
      <c r="D124">
        <f>SUM(D120:D122)</f>
        <v>6250</v>
      </c>
    </row>
    <row r="126" spans="1:4" x14ac:dyDescent="0.3">
      <c r="A126" t="s">
        <v>54</v>
      </c>
    </row>
    <row r="128" spans="1:4" x14ac:dyDescent="0.3">
      <c r="A128" t="s">
        <v>55</v>
      </c>
    </row>
    <row r="130" spans="1:5" x14ac:dyDescent="0.3">
      <c r="A130" t="s">
        <v>40</v>
      </c>
      <c r="B130" t="s">
        <v>39</v>
      </c>
      <c r="C130" t="s">
        <v>42</v>
      </c>
      <c r="D130" t="s">
        <v>56</v>
      </c>
    </row>
    <row r="131" spans="1:5" x14ac:dyDescent="0.3">
      <c r="A131">
        <v>80000</v>
      </c>
      <c r="B131">
        <v>60000</v>
      </c>
      <c r="C131">
        <f>A131-B131</f>
        <v>20000</v>
      </c>
      <c r="D131">
        <f>(C131/A131)*100</f>
        <v>25</v>
      </c>
    </row>
    <row r="133" spans="1:5" x14ac:dyDescent="0.3">
      <c r="A133" t="s">
        <v>57</v>
      </c>
    </row>
    <row r="135" spans="1:5" x14ac:dyDescent="0.3">
      <c r="A135" t="s">
        <v>58</v>
      </c>
      <c r="B135" t="s">
        <v>59</v>
      </c>
      <c r="C135" t="s">
        <v>60</v>
      </c>
      <c r="D135" t="s">
        <v>61</v>
      </c>
    </row>
    <row r="136" spans="1:5" x14ac:dyDescent="0.3">
      <c r="A136">
        <v>25000</v>
      </c>
      <c r="B136">
        <v>20000</v>
      </c>
      <c r="C136">
        <f>A136-B136</f>
        <v>5000</v>
      </c>
      <c r="D136">
        <f>(C136/A136)*100</f>
        <v>20</v>
      </c>
    </row>
    <row r="138" spans="1:5" x14ac:dyDescent="0.3">
      <c r="A138" t="s">
        <v>62</v>
      </c>
    </row>
    <row r="140" spans="1:5" x14ac:dyDescent="0.3">
      <c r="A140" t="s">
        <v>63</v>
      </c>
    </row>
    <row r="142" spans="1:5" x14ac:dyDescent="0.3">
      <c r="A142" t="s">
        <v>64</v>
      </c>
      <c r="B142" t="s">
        <v>65</v>
      </c>
      <c r="C142" t="s">
        <v>48</v>
      </c>
      <c r="D142" t="s">
        <v>66</v>
      </c>
      <c r="E142" t="s">
        <v>67</v>
      </c>
    </row>
    <row r="143" spans="1:5" x14ac:dyDescent="0.3">
      <c r="A143">
        <v>10000</v>
      </c>
      <c r="B143">
        <v>10</v>
      </c>
      <c r="C143">
        <f>A143-(B143/100)*A143</f>
        <v>9000</v>
      </c>
      <c r="D143">
        <v>18</v>
      </c>
      <c r="E143">
        <f>C143+(D143/100)*C143</f>
        <v>10620</v>
      </c>
    </row>
    <row r="145" spans="1:4" x14ac:dyDescent="0.3">
      <c r="A145" t="s">
        <v>68</v>
      </c>
    </row>
    <row r="147" spans="1:4" x14ac:dyDescent="0.3">
      <c r="A147" t="s">
        <v>69</v>
      </c>
    </row>
    <row r="149" spans="1:4" x14ac:dyDescent="0.3">
      <c r="A149" t="s">
        <v>70</v>
      </c>
      <c r="B149" t="s">
        <v>20</v>
      </c>
      <c r="C149" t="s">
        <v>3</v>
      </c>
      <c r="D149" t="s">
        <v>71</v>
      </c>
    </row>
    <row r="150" spans="1:4" x14ac:dyDescent="0.3">
      <c r="A150">
        <v>12</v>
      </c>
      <c r="B150">
        <v>35000</v>
      </c>
      <c r="C150">
        <v>2000</v>
      </c>
      <c r="D150">
        <f>A150*(B150+C150)</f>
        <v>444000</v>
      </c>
    </row>
    <row r="152" spans="1:4" x14ac:dyDescent="0.3">
      <c r="A152" t="s">
        <v>106</v>
      </c>
    </row>
    <row r="153" spans="1:4" x14ac:dyDescent="0.3">
      <c r="A153" t="s">
        <v>107</v>
      </c>
    </row>
    <row r="154" spans="1:4" x14ac:dyDescent="0.3">
      <c r="B154" t="s">
        <v>39</v>
      </c>
      <c r="D154" t="s">
        <v>108</v>
      </c>
    </row>
    <row r="155" spans="1:4" x14ac:dyDescent="0.3">
      <c r="A155">
        <v>500</v>
      </c>
      <c r="B155">
        <v>120</v>
      </c>
      <c r="C155">
        <v>180</v>
      </c>
      <c r="D155">
        <f>(A155-C155)*B155</f>
        <v>38400</v>
      </c>
    </row>
    <row r="157" spans="1:4" x14ac:dyDescent="0.3">
      <c r="A157" t="s">
        <v>109</v>
      </c>
    </row>
    <row r="158" spans="1:4" x14ac:dyDescent="0.3">
      <c r="A158" t="s">
        <v>111</v>
      </c>
      <c r="B158" t="s">
        <v>112</v>
      </c>
      <c r="C158" t="s">
        <v>110</v>
      </c>
      <c r="D158" t="s">
        <v>113</v>
      </c>
    </row>
    <row r="159" spans="1:4" x14ac:dyDescent="0.3">
      <c r="A159">
        <v>800000</v>
      </c>
      <c r="B159">
        <v>960000</v>
      </c>
      <c r="C159">
        <f>B159-A159</f>
        <v>160000</v>
      </c>
      <c r="D159">
        <f>(C159/A159)*100</f>
        <v>20</v>
      </c>
    </row>
    <row r="161" spans="1:19" x14ac:dyDescent="0.3">
      <c r="A161" t="s">
        <v>118</v>
      </c>
    </row>
    <row r="162" spans="1:19" x14ac:dyDescent="0.3">
      <c r="A162" t="s">
        <v>114</v>
      </c>
      <c r="B162" t="s">
        <v>115</v>
      </c>
      <c r="C162" t="s">
        <v>119</v>
      </c>
      <c r="D162" t="s">
        <v>117</v>
      </c>
      <c r="E162" t="s">
        <v>120</v>
      </c>
    </row>
    <row r="163" spans="1:19" x14ac:dyDescent="0.3">
      <c r="A163">
        <v>120000</v>
      </c>
      <c r="B163">
        <v>80000</v>
      </c>
      <c r="C163">
        <f>A163+B163</f>
        <v>200000</v>
      </c>
      <c r="D163">
        <v>2000</v>
      </c>
      <c r="E163">
        <f>C163/D163</f>
        <v>100</v>
      </c>
    </row>
    <row r="165" spans="1:19" x14ac:dyDescent="0.3">
      <c r="A165" t="s">
        <v>72</v>
      </c>
    </row>
    <row r="167" spans="1:19" x14ac:dyDescent="0.3">
      <c r="A167" t="s">
        <v>73</v>
      </c>
    </row>
    <row r="169" spans="1:19" x14ac:dyDescent="0.3">
      <c r="A169" t="s">
        <v>74</v>
      </c>
      <c r="B169" t="s">
        <v>75</v>
      </c>
      <c r="C169" t="s">
        <v>76</v>
      </c>
      <c r="D169" t="s">
        <v>31</v>
      </c>
      <c r="E169" t="s">
        <v>77</v>
      </c>
      <c r="F169" t="s">
        <v>78</v>
      </c>
    </row>
    <row r="170" spans="1:19" x14ac:dyDescent="0.3">
      <c r="A170">
        <v>60000</v>
      </c>
      <c r="B170">
        <v>15000</v>
      </c>
      <c r="C170">
        <v>8000</v>
      </c>
      <c r="D170">
        <v>4000</v>
      </c>
      <c r="E170">
        <v>10000</v>
      </c>
      <c r="F170">
        <f>A170-(B170+C170+D170+E170)</f>
        <v>23000</v>
      </c>
    </row>
    <row r="172" spans="1:19" x14ac:dyDescent="0.3">
      <c r="A172" s="2" t="s">
        <v>79</v>
      </c>
      <c r="B172" s="1"/>
      <c r="C172" s="1"/>
      <c r="D172" s="1"/>
      <c r="E172" s="1"/>
      <c r="F172" s="1"/>
      <c r="G172" s="1"/>
      <c r="H172" s="1"/>
      <c r="I172" s="1"/>
      <c r="J172" s="1"/>
      <c r="K172" s="1"/>
      <c r="L172" s="1"/>
      <c r="M172" s="1"/>
      <c r="N172" s="1"/>
      <c r="O172" s="1"/>
      <c r="P172" s="1"/>
      <c r="Q172" s="1"/>
      <c r="R172" s="1"/>
      <c r="S172" s="1"/>
    </row>
    <row r="174" spans="1:19" x14ac:dyDescent="0.3">
      <c r="A174" t="s">
        <v>80</v>
      </c>
    </row>
    <row r="178" spans="1:3" x14ac:dyDescent="0.3">
      <c r="A178">
        <v>10</v>
      </c>
      <c r="B178">
        <v>5</v>
      </c>
      <c r="C178">
        <v>2</v>
      </c>
    </row>
    <row r="180" spans="1:3" x14ac:dyDescent="0.3">
      <c r="A180">
        <f>A178+B178*C178</f>
        <v>20</v>
      </c>
      <c r="C180">
        <f>(A178+B178)*C178</f>
        <v>30</v>
      </c>
    </row>
    <row r="182" spans="1:3" x14ac:dyDescent="0.3">
      <c r="A182" t="s">
        <v>81</v>
      </c>
    </row>
    <row r="184" spans="1:3" x14ac:dyDescent="0.3">
      <c r="A184" t="s">
        <v>82</v>
      </c>
      <c r="B184" t="s">
        <v>83</v>
      </c>
      <c r="C184" t="s">
        <v>84</v>
      </c>
    </row>
    <row r="185" spans="1:3" x14ac:dyDescent="0.3">
      <c r="A185">
        <v>1000</v>
      </c>
      <c r="B185">
        <f>(20/100)*A185</f>
        <v>200</v>
      </c>
      <c r="C185">
        <f>A185+B185</f>
        <v>1200</v>
      </c>
    </row>
    <row r="187" spans="1:3" x14ac:dyDescent="0.3">
      <c r="A187" t="s">
        <v>84</v>
      </c>
      <c r="B187" t="s">
        <v>60</v>
      </c>
      <c r="C187" t="s">
        <v>85</v>
      </c>
    </row>
    <row r="188" spans="1:3" x14ac:dyDescent="0.3">
      <c r="A188">
        <v>1200</v>
      </c>
      <c r="B188">
        <f>(20/100)*A188</f>
        <v>240</v>
      </c>
      <c r="C188">
        <f>A188-B188</f>
        <v>960</v>
      </c>
    </row>
    <row r="191" spans="1:3" x14ac:dyDescent="0.3">
      <c r="A191" t="s">
        <v>86</v>
      </c>
    </row>
    <row r="193" spans="1:4" x14ac:dyDescent="0.3">
      <c r="A193" t="s">
        <v>87</v>
      </c>
    </row>
    <row r="195" spans="1:4" x14ac:dyDescent="0.3">
      <c r="A195" t="s">
        <v>88</v>
      </c>
    </row>
    <row r="197" spans="1:4" x14ac:dyDescent="0.3">
      <c r="A197" t="s">
        <v>89</v>
      </c>
      <c r="B197" t="s">
        <v>90</v>
      </c>
      <c r="C197" t="s">
        <v>91</v>
      </c>
      <c r="D197" t="s">
        <v>92</v>
      </c>
    </row>
    <row r="198" spans="1:4" x14ac:dyDescent="0.3">
      <c r="A198">
        <v>800</v>
      </c>
      <c r="B198">
        <v>25</v>
      </c>
      <c r="C198">
        <f>(B198/100)*A198</f>
        <v>200</v>
      </c>
      <c r="D198">
        <f>A198+C198</f>
        <v>1000</v>
      </c>
    </row>
    <row r="200" spans="1:4" x14ac:dyDescent="0.3">
      <c r="A200" t="s">
        <v>130</v>
      </c>
    </row>
    <row r="201" spans="1:4" x14ac:dyDescent="0.3">
      <c r="A201" t="s">
        <v>39</v>
      </c>
      <c r="B201" t="s">
        <v>131</v>
      </c>
      <c r="C201" t="s">
        <v>40</v>
      </c>
    </row>
    <row r="202" spans="1:4" x14ac:dyDescent="0.3">
      <c r="A202">
        <v>800</v>
      </c>
      <c r="B202" s="4">
        <v>0.2</v>
      </c>
      <c r="C202" s="4">
        <f>A202/(1-(B202))</f>
        <v>1000</v>
      </c>
    </row>
    <row r="205" spans="1:4" x14ac:dyDescent="0.3">
      <c r="A205" t="s">
        <v>101</v>
      </c>
    </row>
    <row r="206" spans="1:4" x14ac:dyDescent="0.3">
      <c r="D206" t="s">
        <v>102</v>
      </c>
    </row>
    <row r="207" spans="1:4" x14ac:dyDescent="0.3">
      <c r="A207">
        <v>250</v>
      </c>
      <c r="B207">
        <v>8</v>
      </c>
      <c r="C207">
        <v>22</v>
      </c>
      <c r="D207">
        <f>A207*B207*C207</f>
        <v>44000</v>
      </c>
    </row>
    <row r="210" spans="1:3" x14ac:dyDescent="0.3">
      <c r="A210" t="s">
        <v>93</v>
      </c>
    </row>
    <row r="212" spans="1:3" x14ac:dyDescent="0.3">
      <c r="A212" t="s">
        <v>94</v>
      </c>
      <c r="B212" t="s">
        <v>95</v>
      </c>
      <c r="C212" t="s">
        <v>96</v>
      </c>
    </row>
    <row r="213" spans="1:3" x14ac:dyDescent="0.3">
      <c r="A213">
        <v>100</v>
      </c>
      <c r="B213">
        <v>20</v>
      </c>
      <c r="C213">
        <f>A213*B213</f>
        <v>2000</v>
      </c>
    </row>
    <row r="215" spans="1:3" x14ac:dyDescent="0.3">
      <c r="A215" t="s">
        <v>97</v>
      </c>
      <c r="B215" t="s">
        <v>98</v>
      </c>
      <c r="C215" t="s">
        <v>99</v>
      </c>
    </row>
    <row r="216" spans="1:3" x14ac:dyDescent="0.3">
      <c r="A216">
        <v>200</v>
      </c>
      <c r="B216">
        <v>25</v>
      </c>
      <c r="C216">
        <f>A216*B216</f>
        <v>5000</v>
      </c>
    </row>
    <row r="218" spans="1:3" x14ac:dyDescent="0.3">
      <c r="A218" t="s">
        <v>100</v>
      </c>
      <c r="C218">
        <f>(C213+C216)/(A213+A216)</f>
        <v>23.333333333333332</v>
      </c>
    </row>
    <row r="221" spans="1:3" x14ac:dyDescent="0.3">
      <c r="A221" t="s">
        <v>121</v>
      </c>
    </row>
    <row r="223" spans="1:3" x14ac:dyDescent="0.3">
      <c r="A223" t="s">
        <v>103</v>
      </c>
      <c r="B223" t="s">
        <v>105</v>
      </c>
      <c r="C223" t="s">
        <v>104</v>
      </c>
    </row>
    <row r="224" spans="1:3" x14ac:dyDescent="0.3">
      <c r="A224">
        <v>500000</v>
      </c>
      <c r="B224">
        <v>425000</v>
      </c>
      <c r="C224">
        <f>(B224/A224)*100</f>
        <v>85</v>
      </c>
    </row>
    <row r="227" spans="1:5" x14ac:dyDescent="0.3">
      <c r="A227" t="s">
        <v>125</v>
      </c>
    </row>
    <row r="229" spans="1:5" x14ac:dyDescent="0.3">
      <c r="A229" t="s">
        <v>126</v>
      </c>
      <c r="B229" t="s">
        <v>127</v>
      </c>
      <c r="C229" t="s">
        <v>128</v>
      </c>
      <c r="D229" t="s">
        <v>129</v>
      </c>
      <c r="E229" t="s">
        <v>116</v>
      </c>
    </row>
    <row r="230" spans="1:5" x14ac:dyDescent="0.3">
      <c r="A230">
        <v>25000</v>
      </c>
      <c r="B230">
        <v>40</v>
      </c>
      <c r="C230">
        <v>800</v>
      </c>
      <c r="D230">
        <f>B230*C230</f>
        <v>32000</v>
      </c>
      <c r="E230">
        <f>A230+D230</f>
        <v>57000</v>
      </c>
    </row>
    <row r="233" spans="1:5" x14ac:dyDescent="0.3">
      <c r="A233" t="s">
        <v>122</v>
      </c>
    </row>
    <row r="235" spans="1:5" x14ac:dyDescent="0.3">
      <c r="A235" t="s">
        <v>53</v>
      </c>
      <c r="B235" t="s">
        <v>123</v>
      </c>
      <c r="C235" t="s">
        <v>124</v>
      </c>
    </row>
    <row r="236" spans="1:5" x14ac:dyDescent="0.3">
      <c r="A236">
        <v>1000</v>
      </c>
      <c r="B236">
        <v>0</v>
      </c>
      <c r="C236">
        <f>IF(B236=0,1,A236/B236)</f>
        <v>1</v>
      </c>
    </row>
  </sheetData>
  <mergeCells count="5">
    <mergeCell ref="A1:S1"/>
    <mergeCell ref="A3:S3"/>
    <mergeCell ref="A49:S49"/>
    <mergeCell ref="A109:S109"/>
    <mergeCell ref="A172:S1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 Pujari</dc:creator>
  <cp:lastModifiedBy>Parag Pujari</cp:lastModifiedBy>
  <dcterms:created xsi:type="dcterms:W3CDTF">2026-10-11T03:54:53Z</dcterms:created>
  <dcterms:modified xsi:type="dcterms:W3CDTF">2026-10-11T06:04:42Z</dcterms:modified>
</cp:coreProperties>
</file>