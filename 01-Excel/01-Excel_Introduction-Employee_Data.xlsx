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enerative_AI\Machine_Learning_Algorithms\Modern Data Analytics\01-Excel\"/>
    </mc:Choice>
  </mc:AlternateContent>
  <xr:revisionPtr revIDLastSave="0" documentId="13_ncr:1_{0CD12C2F-F903-41E1-B6F6-2B64AABEA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Salary" sheetId="2" r:id="rId2"/>
    <sheet name="Attendance" sheetId="3" r:id="rId3"/>
  </sheets>
  <definedNames>
    <definedName name="_xlnm._FilterDatabase" localSheetId="0" hidden="1">Employees!$A$151:$D$156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3" i="1" l="1"/>
  <c r="D282" i="1"/>
  <c r="E299" i="1"/>
  <c r="E300" i="1"/>
  <c r="E301" i="1"/>
  <c r="E298" i="1"/>
  <c r="A254" i="1"/>
  <c r="A249" i="1" a="1"/>
  <c r="B225" i="1"/>
  <c r="A225" i="1"/>
  <c r="A217" i="1" a="1"/>
  <c r="A191" i="1" a="1"/>
  <c r="A174" i="1" a="1"/>
  <c r="C130" i="1"/>
  <c r="C129" i="1"/>
  <c r="D54" i="1"/>
  <c r="D53" i="1"/>
  <c r="C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<sst xmlns="http://schemas.openxmlformats.org/spreadsheetml/2006/main" count="289" uniqueCount="130">
  <si>
    <t>1. Which is workbook?</t>
  </si>
  <si>
    <t>Ans       Employee_Data.xlsx is the workbook</t>
  </si>
  <si>
    <t>Ans    Employees, Salary, Attendance arethe worksheets</t>
  </si>
  <si>
    <t xml:space="preserve"> Which is worksheet?</t>
  </si>
  <si>
    <t>A</t>
  </si>
  <si>
    <t>B</t>
  </si>
  <si>
    <t>C</t>
  </si>
  <si>
    <t>Employee ID</t>
  </si>
  <si>
    <t>Name</t>
  </si>
  <si>
    <t>Salary</t>
  </si>
  <si>
    <t>Rahul</t>
  </si>
  <si>
    <t>Priya</t>
  </si>
  <si>
    <t>Amit</t>
  </si>
  <si>
    <t>The cell adress containing the name "Priya" is B10</t>
  </si>
  <si>
    <t>3.    In Excel, you enter the value 50000 in cell C9</t>
  </si>
  <si>
    <t>(a.)    The column for the value 50000 in the above table is  C</t>
  </si>
  <si>
    <t>(b.)    The row for the value 50000 in the above table is 9th row</t>
  </si>
  <si>
    <t>Cell</t>
  </si>
  <si>
    <t>Value</t>
  </si>
  <si>
    <t>A1</t>
  </si>
  <si>
    <t>A2</t>
  </si>
  <si>
    <t>A3</t>
  </si>
  <si>
    <t>A4</t>
  </si>
  <si>
    <t>Data Type</t>
  </si>
  <si>
    <t>Text</t>
  </si>
  <si>
    <t>Number</t>
  </si>
  <si>
    <t>Date</t>
  </si>
  <si>
    <t>Time</t>
  </si>
  <si>
    <t>Department</t>
  </si>
  <si>
    <t>Raj</t>
  </si>
  <si>
    <t>IT</t>
  </si>
  <si>
    <t>Basic Level Interview Questions</t>
  </si>
  <si>
    <t>Intermediate Level Interview Questions</t>
  </si>
  <si>
    <t>Product</t>
  </si>
  <si>
    <t>Price</t>
  </si>
  <si>
    <t>Laptop</t>
  </si>
  <si>
    <t>Mouse</t>
  </si>
  <si>
    <t>What is the cell reference containing the price of the laptop?</t>
  </si>
  <si>
    <t>The cell reference containingb the price of laptop is B35.</t>
  </si>
  <si>
    <t>B1</t>
  </si>
  <si>
    <t>What is stored in C43?</t>
  </si>
  <si>
    <t>The sum of two numbers 100 at B43 and 200 at B44 is stored in C43.</t>
  </si>
  <si>
    <t>Quantity</t>
  </si>
  <si>
    <t>If you copy the formula from D53 to D54, what formula will Excel create?</t>
  </si>
  <si>
    <t>Ans   If we copy the formula from D53 to D54, then our formula will be B54*C54</t>
  </si>
  <si>
    <t>Employee</t>
  </si>
  <si>
    <t>Neha</t>
  </si>
  <si>
    <r>
      <t xml:space="preserve">Arrange the employees from </t>
    </r>
    <r>
      <rPr>
        <b/>
        <sz val="11"/>
        <color theme="1"/>
        <rFont val="Calibri"/>
        <family val="2"/>
        <scheme val="minor"/>
      </rPr>
      <t>highest salary to lowest salary</t>
    </r>
  </si>
  <si>
    <t>HR</t>
  </si>
  <si>
    <t>Finance</t>
  </si>
  <si>
    <r>
      <t xml:space="preserve">You want to display </t>
    </r>
    <r>
      <rPr>
        <b/>
        <sz val="11"/>
        <color theme="1"/>
        <rFont val="Calibri"/>
        <family val="2"/>
        <scheme val="minor"/>
      </rPr>
      <t>only IT employees</t>
    </r>
    <r>
      <rPr>
        <sz val="11"/>
        <color theme="1"/>
        <rFont val="Calibri"/>
        <family val="2"/>
        <scheme val="minor"/>
      </rPr>
      <t>. What should you do?</t>
    </r>
  </si>
  <si>
    <t>Interview Level  Questions</t>
  </si>
  <si>
    <r>
      <t xml:space="preserve">You receive an Excel file containing </t>
    </r>
    <r>
      <rPr>
        <b/>
        <sz val="11"/>
        <color theme="1"/>
        <rFont val="Calibri"/>
        <family val="2"/>
        <scheme val="minor"/>
      </rPr>
      <t>5 employee records</t>
    </r>
    <r>
      <rPr>
        <sz val="11"/>
        <color theme="1"/>
        <rFont val="Calibri"/>
        <family val="2"/>
        <scheme val="minor"/>
      </rPr>
      <t>. Your manager asks you to find all employees belonging to the IT department</t>
    </r>
  </si>
  <si>
    <t>D</t>
  </si>
  <si>
    <t>Employee_ID</t>
  </si>
  <si>
    <t>Your manager asks:</t>
  </si>
  <si>
    <t>"Which cell contains Amit's salary?"</t>
  </si>
  <si>
    <t>Amit salary is present in the cell D113</t>
  </si>
  <si>
    <t>"Show me only sales from the Hyderabad location, but don't change the order of the records."</t>
  </si>
  <si>
    <r>
      <t xml:space="preserve">Would you use </t>
    </r>
    <r>
      <rPr>
        <b/>
        <sz val="11"/>
        <color theme="1"/>
        <rFont val="Calibri"/>
        <family val="2"/>
        <scheme val="minor"/>
      </rPr>
      <t>Sorting or Filtering</t>
    </r>
    <r>
      <rPr>
        <sz val="11"/>
        <color theme="1"/>
        <rFont val="Calibri"/>
        <family val="2"/>
        <scheme val="minor"/>
      </rPr>
      <t>?</t>
    </r>
  </si>
  <si>
    <t>Your manager gives you 10 sales records and asks:</t>
  </si>
  <si>
    <t>Filtering is used as here the manager asks me to show only those records belonging to Hyderabad location.</t>
  </si>
  <si>
    <r>
      <t xml:space="preserve">In </t>
    </r>
    <r>
      <rPr>
        <sz val="10"/>
        <color theme="1"/>
        <rFont val="Arial Unicode MS"/>
      </rPr>
      <t>C2</t>
    </r>
    <r>
      <rPr>
        <sz val="11"/>
        <color theme="1"/>
        <rFont val="Calibri"/>
        <family val="2"/>
        <scheme val="minor"/>
      </rPr>
      <t>, you enter:</t>
    </r>
  </si>
  <si>
    <t>Question:</t>
  </si>
  <si>
    <t>What will Excel display in C129?</t>
  </si>
  <si>
    <t>C129 will display the 10% of the total price.</t>
  </si>
  <si>
    <t>"Find all IT employees earning more than ₹55,000."</t>
  </si>
  <si>
    <t>Explain how you would solve this in Excel</t>
  </si>
  <si>
    <t>1. What is active cell</t>
  </si>
  <si>
    <t>Ans The cell which is currently being selected is the active  cell.</t>
  </si>
  <si>
    <t>2. You create a new Excel workbook and save it as:
Sales_Report.xlsx
What does .xlsx represent?</t>
  </si>
  <si>
    <t>.xlsx represents the file extension of the excel workbook.</t>
  </si>
  <si>
    <t>C1</t>
  </si>
  <si>
    <t>B2</t>
  </si>
  <si>
    <t>C2</t>
  </si>
  <si>
    <t>B3</t>
  </si>
  <si>
    <t>C3</t>
  </si>
  <si>
    <r>
      <t xml:space="preserve">How would you represent the entire area from </t>
    </r>
    <r>
      <rPr>
        <sz val="10"/>
        <color theme="1"/>
        <rFont val="Arial Unicode MS"/>
      </rPr>
      <t>A168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C170</t>
    </r>
    <r>
      <rPr>
        <sz val="11"/>
        <color theme="1"/>
        <rFont val="Calibri"/>
        <family val="2"/>
        <scheme val="minor"/>
      </rPr>
      <t xml:space="preserve"> as an Excel range?</t>
    </r>
  </si>
  <si>
    <r>
      <t xml:space="preserve">You want to select cells </t>
    </r>
    <r>
      <rPr>
        <sz val="10"/>
        <color theme="1"/>
        <rFont val="Arial Unicode MS"/>
      </rPr>
      <t>B2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B5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B6</t>
    </r>
    <r>
      <rPr>
        <sz val="11"/>
        <color theme="1"/>
        <rFont val="Calibri"/>
        <family val="2"/>
        <scheme val="minor"/>
      </rPr>
      <t>.</t>
    </r>
  </si>
  <si>
    <t>How would you describe this selection as a range?</t>
  </si>
  <si>
    <t>B4</t>
  </si>
  <si>
    <t>C4</t>
  </si>
  <si>
    <t>A5</t>
  </si>
  <si>
    <t>B5</t>
  </si>
  <si>
    <t>C5</t>
  </si>
  <si>
    <t>A6</t>
  </si>
  <si>
    <t>B6</t>
  </si>
  <si>
    <t>C6</t>
  </si>
  <si>
    <t>Student ID</t>
  </si>
  <si>
    <t>Student Name</t>
  </si>
  <si>
    <t>Age</t>
  </si>
  <si>
    <t>Course</t>
  </si>
  <si>
    <t>You are creating a student database. You need to enter:</t>
  </si>
  <si>
    <t>Data Analytics</t>
  </si>
  <si>
    <t>Jan</t>
  </si>
  <si>
    <t>Feb</t>
  </si>
  <si>
    <t>Mar</t>
  </si>
  <si>
    <t>Mobile</t>
  </si>
  <si>
    <t>Tablet</t>
  </si>
  <si>
    <t>What cells are included in the range B212 to D213</t>
  </si>
  <si>
    <t>What will be the result?</t>
  </si>
  <si>
    <t>January</t>
  </si>
  <si>
    <t>February</t>
  </si>
  <si>
    <t>March</t>
  </si>
  <si>
    <t>Month</t>
  </si>
  <si>
    <t>You want to continue the sequence with April, May, and June without typing every month manually.</t>
  </si>
  <si>
    <t>Which Excel feature can help?</t>
  </si>
  <si>
    <t>Autofill</t>
  </si>
  <si>
    <t>Sales</t>
  </si>
  <si>
    <t>Which cells contain the sales values, and what is the total sales amount?</t>
  </si>
  <si>
    <r>
      <t xml:space="preserve">If cell </t>
    </r>
    <r>
      <rPr>
        <sz val="10"/>
        <color theme="1"/>
        <rFont val="Arial Unicode MS"/>
      </rPr>
      <t>E259</t>
    </r>
    <r>
      <rPr>
        <sz val="11"/>
        <color theme="1"/>
        <rFont val="Calibri"/>
        <family val="2"/>
        <scheme val="minor"/>
      </rPr>
      <t xml:space="preserve"> is selected and you move </t>
    </r>
    <r>
      <rPr>
        <b/>
        <sz val="11"/>
        <color theme="1"/>
        <rFont val="Calibri"/>
        <family val="2"/>
        <scheme val="minor"/>
      </rPr>
      <t>two columns to the left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three rows upward</t>
    </r>
    <r>
      <rPr>
        <sz val="11"/>
        <color theme="1"/>
        <rFont val="Calibri"/>
        <family val="2"/>
        <scheme val="minor"/>
      </rPr>
      <t>, which cell will you reach?</t>
    </r>
  </si>
  <si>
    <t>C256</t>
  </si>
  <si>
    <t>Order ID</t>
  </si>
  <si>
    <t>Keyboard</t>
  </si>
  <si>
    <t>Monitor</t>
  </si>
  <si>
    <t>"Calculate the total value of each order."</t>
  </si>
  <si>
    <t>Total Order Value</t>
  </si>
  <si>
    <t>You receive an Excel sheet where employees, departments, salaries, and locations are all mixed together without proper column headings</t>
  </si>
  <si>
    <t>Employee Name</t>
  </si>
  <si>
    <t>Location</t>
  </si>
  <si>
    <t>Pune</t>
  </si>
  <si>
    <t>Mumbai</t>
  </si>
  <si>
    <t>Delhi</t>
  </si>
  <si>
    <t>Total_Product_Price</t>
  </si>
  <si>
    <t>Your manager asks you to select only the employee names and departments for all four employees.</t>
  </si>
  <si>
    <t>B268:C71</t>
  </si>
  <si>
    <t>Design excel table</t>
  </si>
  <si>
    <t>Customer Name</t>
  </si>
  <si>
    <t>Sales Amount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</si>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</sst>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04"/>
  <sheetViews>
    <sheetView tabSelected="1" workbookViewId="0">
      <selection activeCell="C265" sqref="C265"/>
    </sheetView>
  </sheetViews>
  <sheetFormatPr defaultRowHeight="14.4"/>
  <cols>
    <col min="1" max="1" width="20.109375" customWidth="1"/>
    <col min="2" max="2" width="14.21875" customWidth="1"/>
    <col min="3" max="3" width="11.109375" bestFit="1" customWidth="1"/>
    <col min="4" max="4" width="17.77734375" bestFit="1" customWidth="1"/>
    <col min="5" max="5" width="22.21875" customWidth="1"/>
    <col min="6" max="6" width="9.21875" bestFit="1" customWidth="1"/>
  </cols>
  <sheetData>
    <row r="1" spans="1:19">
      <c r="A1" s="14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>
      <c r="A2" t="s">
        <v>0</v>
      </c>
    </row>
    <row r="3" spans="1:19">
      <c r="A3" t="s">
        <v>1</v>
      </c>
    </row>
    <row r="5" spans="1:19">
      <c r="A5" t="s">
        <v>3</v>
      </c>
    </row>
    <row r="6" spans="1:19">
      <c r="A6" t="s">
        <v>2</v>
      </c>
    </row>
    <row r="8" spans="1:19">
      <c r="A8">
        <v>2</v>
      </c>
    </row>
    <row r="9" spans="1:19">
      <c r="A9" s="3" t="s">
        <v>7</v>
      </c>
      <c r="B9" s="3" t="s">
        <v>8</v>
      </c>
      <c r="C9" s="3" t="s">
        <v>9</v>
      </c>
    </row>
    <row r="10" spans="1:19">
      <c r="A10" s="2">
        <v>101</v>
      </c>
      <c r="B10" s="2" t="s">
        <v>10</v>
      </c>
      <c r="C10" s="2">
        <v>50000</v>
      </c>
    </row>
    <row r="11" spans="1:19">
      <c r="A11" s="2">
        <v>102</v>
      </c>
      <c r="B11" s="2" t="s">
        <v>11</v>
      </c>
      <c r="C11" s="2">
        <v>60000</v>
      </c>
      <c r="E11" t="s">
        <v>13</v>
      </c>
    </row>
    <row r="12" spans="1:19">
      <c r="A12" s="2">
        <v>103</v>
      </c>
      <c r="B12" s="2" t="s">
        <v>12</v>
      </c>
      <c r="C12" s="2">
        <v>55000</v>
      </c>
    </row>
    <row r="14" spans="1:19">
      <c r="A14" t="s">
        <v>14</v>
      </c>
    </row>
    <row r="16" spans="1:19">
      <c r="A16" t="s">
        <v>15</v>
      </c>
    </row>
    <row r="17" spans="1:19">
      <c r="A17" t="s">
        <v>16</v>
      </c>
    </row>
    <row r="20" spans="1:19">
      <c r="A20">
        <v>4</v>
      </c>
    </row>
    <row r="21" spans="1:19">
      <c r="A21" s="1" t="s">
        <v>17</v>
      </c>
      <c r="B21" s="1" t="s">
        <v>18</v>
      </c>
      <c r="C21" s="6" t="s">
        <v>23</v>
      </c>
    </row>
    <row r="22" spans="1:19">
      <c r="A22" s="2" t="s">
        <v>19</v>
      </c>
      <c r="B22" s="2" t="s">
        <v>10</v>
      </c>
      <c r="C22" t="s">
        <v>24</v>
      </c>
    </row>
    <row r="23" spans="1:19">
      <c r="A23" s="2" t="s">
        <v>20</v>
      </c>
      <c r="B23" s="2">
        <v>50000</v>
      </c>
      <c r="C23" t="s">
        <v>25</v>
      </c>
    </row>
    <row r="24" spans="1:19">
      <c r="A24" s="2" t="s">
        <v>21</v>
      </c>
      <c r="B24" s="4">
        <v>46303</v>
      </c>
      <c r="C24" t="s">
        <v>26</v>
      </c>
    </row>
    <row r="25" spans="1:19">
      <c r="A25" s="2" t="s">
        <v>22</v>
      </c>
      <c r="B25" s="5">
        <v>0.4375</v>
      </c>
      <c r="C25" t="s">
        <v>27</v>
      </c>
    </row>
    <row r="28" spans="1:19" ht="15" thickBot="1">
      <c r="A28">
        <v>5</v>
      </c>
    </row>
    <row r="29" spans="1:19">
      <c r="A29" s="7" t="s">
        <v>7</v>
      </c>
      <c r="B29" s="8" t="s">
        <v>8</v>
      </c>
      <c r="C29" s="8" t="s">
        <v>28</v>
      </c>
      <c r="D29" s="9" t="s">
        <v>9</v>
      </c>
    </row>
    <row r="30" spans="1:19" ht="15" thickBot="1">
      <c r="A30" s="10">
        <v>101</v>
      </c>
      <c r="B30" s="11" t="s">
        <v>29</v>
      </c>
      <c r="C30" s="11" t="s">
        <v>30</v>
      </c>
      <c r="D30" s="12">
        <v>60000</v>
      </c>
    </row>
    <row r="32" spans="1:19">
      <c r="A32" s="14" t="s">
        <v>32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3">
      <c r="A33">
        <v>11</v>
      </c>
    </row>
    <row r="34" spans="1:3">
      <c r="A34" s="3" t="s">
        <v>33</v>
      </c>
      <c r="B34" s="16" t="s">
        <v>34</v>
      </c>
    </row>
    <row r="35" spans="1:3">
      <c r="A35" s="2" t="s">
        <v>35</v>
      </c>
      <c r="B35" s="15">
        <v>50000</v>
      </c>
    </row>
    <row r="36" spans="1:3">
      <c r="A36" s="2" t="s">
        <v>36</v>
      </c>
      <c r="B36" s="15">
        <v>1000</v>
      </c>
    </row>
    <row r="38" spans="1:3">
      <c r="A38" t="s">
        <v>37</v>
      </c>
    </row>
    <row r="40" spans="1:3">
      <c r="A40" t="s">
        <v>38</v>
      </c>
    </row>
    <row r="42" spans="1:3">
      <c r="A42">
        <v>12</v>
      </c>
    </row>
    <row r="43" spans="1:3">
      <c r="A43" t="s">
        <v>19</v>
      </c>
      <c r="B43">
        <v>100</v>
      </c>
      <c r="C43">
        <f>B43+B44</f>
        <v>300</v>
      </c>
    </row>
    <row r="44" spans="1:3">
      <c r="A44" t="s">
        <v>39</v>
      </c>
      <c r="B44">
        <v>200</v>
      </c>
    </row>
    <row r="46" spans="1:3">
      <c r="A46" t="s">
        <v>40</v>
      </c>
    </row>
    <row r="48" spans="1:3">
      <c r="A48" t="s">
        <v>41</v>
      </c>
    </row>
    <row r="51" spans="1:4">
      <c r="A51">
        <v>13</v>
      </c>
    </row>
    <row r="52" spans="1:4">
      <c r="A52" s="3" t="s">
        <v>33</v>
      </c>
      <c r="B52" s="16" t="s">
        <v>34</v>
      </c>
      <c r="C52" s="16" t="s">
        <v>42</v>
      </c>
    </row>
    <row r="53" spans="1:4">
      <c r="A53" s="2" t="s">
        <v>35</v>
      </c>
      <c r="B53" s="15">
        <v>50000</v>
      </c>
      <c r="C53" s="15">
        <v>2</v>
      </c>
      <c r="D53">
        <f>B53*C53</f>
        <v>100000</v>
      </c>
    </row>
    <row r="54" spans="1:4">
      <c r="A54" s="2" t="s">
        <v>36</v>
      </c>
      <c r="B54" s="15">
        <v>1000</v>
      </c>
      <c r="C54" s="15">
        <v>5</v>
      </c>
      <c r="D54">
        <f>B54*C54</f>
        <v>5000</v>
      </c>
    </row>
    <row r="56" spans="1:4">
      <c r="A56" t="s">
        <v>43</v>
      </c>
    </row>
    <row r="58" spans="1:4">
      <c r="A58" t="s">
        <v>44</v>
      </c>
    </row>
    <row r="61" spans="1:4">
      <c r="A61">
        <v>14</v>
      </c>
    </row>
    <row r="62" spans="1:4">
      <c r="A62" s="1" t="s">
        <v>45</v>
      </c>
      <c r="B62" s="16" t="s">
        <v>9</v>
      </c>
    </row>
    <row r="63" spans="1:4">
      <c r="A63" s="2" t="s">
        <v>10</v>
      </c>
      <c r="B63" s="15">
        <v>50000</v>
      </c>
    </row>
    <row r="64" spans="1:4">
      <c r="A64" s="2" t="s">
        <v>11</v>
      </c>
      <c r="B64" s="15">
        <v>75000</v>
      </c>
    </row>
    <row r="65" spans="1:3">
      <c r="A65" s="2" t="s">
        <v>12</v>
      </c>
      <c r="B65" s="15">
        <v>45000</v>
      </c>
    </row>
    <row r="66" spans="1:3">
      <c r="A66" s="2" t="s">
        <v>46</v>
      </c>
      <c r="B66" s="15">
        <v>90000</v>
      </c>
    </row>
    <row r="68" spans="1:3">
      <c r="A68" t="s">
        <v>47</v>
      </c>
    </row>
    <row r="70" spans="1:3">
      <c r="A70" s="1" t="s">
        <v>45</v>
      </c>
      <c r="B70" s="16" t="s">
        <v>9</v>
      </c>
    </row>
    <row r="71" spans="1:3">
      <c r="A71" s="2" t="s">
        <v>46</v>
      </c>
      <c r="B71" s="15">
        <v>90000</v>
      </c>
    </row>
    <row r="72" spans="1:3">
      <c r="A72" s="2" t="s">
        <v>11</v>
      </c>
      <c r="B72" s="15">
        <v>75000</v>
      </c>
    </row>
    <row r="73" spans="1:3">
      <c r="A73" s="2" t="s">
        <v>10</v>
      </c>
      <c r="B73" s="15">
        <v>50000</v>
      </c>
    </row>
    <row r="74" spans="1:3">
      <c r="A74" s="2" t="s">
        <v>12</v>
      </c>
      <c r="B74" s="15">
        <v>45000</v>
      </c>
    </row>
    <row r="77" spans="1:3">
      <c r="A77">
        <v>15</v>
      </c>
    </row>
    <row r="79" spans="1:3" ht="28.8">
      <c r="A79" s="1" t="s">
        <v>45</v>
      </c>
      <c r="B79" s="1" t="s">
        <v>28</v>
      </c>
      <c r="C79" s="16" t="s">
        <v>9</v>
      </c>
    </row>
    <row r="80" spans="1:3">
      <c r="A80" s="2" t="s">
        <v>10</v>
      </c>
      <c r="B80" s="2" t="s">
        <v>30</v>
      </c>
      <c r="C80" s="15">
        <v>60000</v>
      </c>
    </row>
    <row r="81" spans="1:3">
      <c r="A81" s="2" t="s">
        <v>11</v>
      </c>
      <c r="B81" s="2" t="s">
        <v>48</v>
      </c>
      <c r="C81" s="15">
        <v>50000</v>
      </c>
    </row>
    <row r="82" spans="1:3">
      <c r="A82" s="2" t="s">
        <v>12</v>
      </c>
      <c r="B82" s="2" t="s">
        <v>30</v>
      </c>
      <c r="C82" s="15">
        <v>75000</v>
      </c>
    </row>
    <row r="83" spans="1:3">
      <c r="A83" s="2" t="s">
        <v>46</v>
      </c>
      <c r="B83" s="2" t="s">
        <v>49</v>
      </c>
      <c r="C83" s="15">
        <v>65000</v>
      </c>
    </row>
    <row r="84" spans="1:3">
      <c r="A84" s="2" t="s">
        <v>29</v>
      </c>
      <c r="B84" s="2" t="s">
        <v>30</v>
      </c>
      <c r="C84" s="15">
        <v>55000</v>
      </c>
    </row>
    <row r="86" spans="1:3">
      <c r="A86" t="s">
        <v>50</v>
      </c>
    </row>
    <row r="88" spans="1:3">
      <c r="A88" s="1" t="s">
        <v>45</v>
      </c>
      <c r="B88" s="1" t="s">
        <v>28</v>
      </c>
      <c r="C88" s="16" t="s">
        <v>9</v>
      </c>
    </row>
    <row r="89" spans="1:3">
      <c r="A89" s="2" t="s">
        <v>10</v>
      </c>
      <c r="B89" s="2" t="s">
        <v>30</v>
      </c>
      <c r="C89" s="15">
        <v>60000</v>
      </c>
    </row>
    <row r="90" spans="1:3">
      <c r="A90" s="2" t="s">
        <v>11</v>
      </c>
      <c r="B90" s="2" t="s">
        <v>48</v>
      </c>
      <c r="C90" s="15">
        <v>50000</v>
      </c>
    </row>
    <row r="91" spans="1:3">
      <c r="A91" s="2" t="s">
        <v>12</v>
      </c>
      <c r="B91" s="2" t="s">
        <v>30</v>
      </c>
      <c r="C91" s="15">
        <v>75000</v>
      </c>
    </row>
    <row r="92" spans="1:3">
      <c r="A92" s="2" t="s">
        <v>46</v>
      </c>
      <c r="B92" s="2" t="s">
        <v>49</v>
      </c>
      <c r="C92" s="15">
        <v>65000</v>
      </c>
    </row>
    <row r="93" spans="1:3">
      <c r="A93" s="2" t="s">
        <v>29</v>
      </c>
      <c r="B93" s="2" t="s">
        <v>30</v>
      </c>
      <c r="C93" s="15">
        <v>55000</v>
      </c>
    </row>
    <row r="97" spans="1:19">
      <c r="A97" s="14" t="s">
        <v>51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9" spans="1:19">
      <c r="A99">
        <v>21</v>
      </c>
    </row>
    <row r="100" spans="1:19">
      <c r="A100" t="s">
        <v>52</v>
      </c>
    </row>
    <row r="102" spans="1:19">
      <c r="A102" s="1" t="s">
        <v>45</v>
      </c>
      <c r="B102" s="1" t="s">
        <v>28</v>
      </c>
      <c r="C102" s="16" t="s">
        <v>9</v>
      </c>
    </row>
    <row r="103" spans="1:19">
      <c r="A103" s="2" t="s">
        <v>10</v>
      </c>
      <c r="B103" s="2" t="s">
        <v>30</v>
      </c>
      <c r="C103" s="15">
        <v>60000</v>
      </c>
    </row>
    <row r="104" spans="1:19">
      <c r="A104" s="2" t="s">
        <v>11</v>
      </c>
      <c r="B104" s="2" t="s">
        <v>48</v>
      </c>
      <c r="C104" s="15">
        <v>50000</v>
      </c>
    </row>
    <row r="105" spans="1:19">
      <c r="A105" s="2" t="s">
        <v>12</v>
      </c>
      <c r="B105" s="2" t="s">
        <v>30</v>
      </c>
      <c r="C105" s="15">
        <v>75000</v>
      </c>
    </row>
    <row r="106" spans="1:19">
      <c r="A106" s="2" t="s">
        <v>46</v>
      </c>
      <c r="B106" s="2" t="s">
        <v>49</v>
      </c>
      <c r="C106" s="15">
        <v>65000</v>
      </c>
    </row>
    <row r="107" spans="1:19">
      <c r="A107" s="2" t="s">
        <v>29</v>
      </c>
      <c r="B107" s="2" t="s">
        <v>30</v>
      </c>
      <c r="C107" s="15">
        <v>55000</v>
      </c>
    </row>
    <row r="109" spans="1:19">
      <c r="A109">
        <v>22</v>
      </c>
    </row>
    <row r="110" spans="1:19">
      <c r="A110" s="3" t="s">
        <v>54</v>
      </c>
      <c r="B110" s="3" t="s">
        <v>8</v>
      </c>
      <c r="C110" s="3" t="s">
        <v>28</v>
      </c>
      <c r="D110" s="16" t="s">
        <v>9</v>
      </c>
    </row>
    <row r="111" spans="1:19">
      <c r="A111" s="2">
        <v>101</v>
      </c>
      <c r="B111" s="2" t="s">
        <v>10</v>
      </c>
      <c r="C111" s="2" t="s">
        <v>30</v>
      </c>
      <c r="D111" s="15">
        <v>60000</v>
      </c>
    </row>
    <row r="112" spans="1:19">
      <c r="A112" s="2">
        <v>102</v>
      </c>
      <c r="B112" s="2" t="s">
        <v>11</v>
      </c>
      <c r="C112" s="2" t="s">
        <v>48</v>
      </c>
      <c r="D112" s="15">
        <v>55000</v>
      </c>
    </row>
    <row r="113" spans="1:4">
      <c r="A113" s="2">
        <v>103</v>
      </c>
      <c r="B113" s="2" t="s">
        <v>12</v>
      </c>
      <c r="C113" s="2" t="s">
        <v>49</v>
      </c>
      <c r="D113" s="15">
        <v>70000</v>
      </c>
    </row>
    <row r="115" spans="1:4">
      <c r="A115" t="s">
        <v>55</v>
      </c>
    </row>
    <row r="116" spans="1:4">
      <c r="A116" s="17" t="s">
        <v>56</v>
      </c>
      <c r="C116" s="2"/>
    </row>
    <row r="118" spans="1:4">
      <c r="A118" t="s">
        <v>57</v>
      </c>
    </row>
    <row r="120" spans="1:4">
      <c r="A120">
        <v>23</v>
      </c>
    </row>
    <row r="121" spans="1:4">
      <c r="A121" t="s">
        <v>60</v>
      </c>
    </row>
    <row r="122" spans="1:4">
      <c r="A122" s="17" t="s">
        <v>58</v>
      </c>
    </row>
    <row r="123" spans="1:4">
      <c r="A123" t="s">
        <v>59</v>
      </c>
    </row>
    <row r="125" spans="1:4">
      <c r="A125" t="s">
        <v>61</v>
      </c>
    </row>
    <row r="127" spans="1:4">
      <c r="A127">
        <v>24</v>
      </c>
    </row>
    <row r="128" spans="1:4">
      <c r="A128" s="3" t="s">
        <v>33</v>
      </c>
      <c r="B128" s="16" t="s">
        <v>34</v>
      </c>
    </row>
    <row r="129" spans="1:4">
      <c r="A129" s="2" t="s">
        <v>35</v>
      </c>
      <c r="B129" s="15">
        <v>50000</v>
      </c>
      <c r="C129">
        <f>B129*(10/100)</f>
        <v>5000</v>
      </c>
    </row>
    <row r="130" spans="1:4">
      <c r="A130" s="2" t="s">
        <v>36</v>
      </c>
      <c r="B130" s="15">
        <v>1000</v>
      </c>
      <c r="C130">
        <f>B130*(10/100)</f>
        <v>100</v>
      </c>
    </row>
    <row r="132" spans="1:4">
      <c r="A132" t="s">
        <v>62</v>
      </c>
    </row>
    <row r="133" spans="1:4">
      <c r="A133" s="6" t="s">
        <v>63</v>
      </c>
    </row>
    <row r="134" spans="1:4">
      <c r="A134" t="s">
        <v>64</v>
      </c>
    </row>
    <row r="136" spans="1:4">
      <c r="A136" t="s">
        <v>65</v>
      </c>
    </row>
    <row r="138" spans="1:4">
      <c r="A138">
        <v>25</v>
      </c>
    </row>
    <row r="139" spans="1:4">
      <c r="A139" s="16" t="s">
        <v>7</v>
      </c>
      <c r="B139" s="1" t="s">
        <v>8</v>
      </c>
      <c r="C139" s="1" t="s">
        <v>28</v>
      </c>
      <c r="D139" s="16" t="s">
        <v>9</v>
      </c>
    </row>
    <row r="140" spans="1:4">
      <c r="A140" s="15">
        <v>101</v>
      </c>
      <c r="B140" s="2" t="s">
        <v>10</v>
      </c>
      <c r="C140" s="2" t="s">
        <v>30</v>
      </c>
      <c r="D140" s="15">
        <v>60000</v>
      </c>
    </row>
    <row r="141" spans="1:4">
      <c r="A141" s="15">
        <v>102</v>
      </c>
      <c r="B141" s="2" t="s">
        <v>11</v>
      </c>
      <c r="C141" s="2" t="s">
        <v>48</v>
      </c>
      <c r="D141" s="15">
        <v>55000</v>
      </c>
    </row>
    <row r="142" spans="1:4">
      <c r="A142" s="15">
        <v>103</v>
      </c>
      <c r="B142" s="2" t="s">
        <v>12</v>
      </c>
      <c r="C142" s="2" t="s">
        <v>30</v>
      </c>
      <c r="D142" s="15">
        <v>75000</v>
      </c>
    </row>
    <row r="143" spans="1:4">
      <c r="A143" s="15">
        <v>104</v>
      </c>
      <c r="B143" s="2" t="s">
        <v>46</v>
      </c>
      <c r="C143" s="2" t="s">
        <v>49</v>
      </c>
      <c r="D143" s="15">
        <v>65000</v>
      </c>
    </row>
    <row r="144" spans="1:4">
      <c r="A144" s="15">
        <v>105</v>
      </c>
      <c r="B144" s="2" t="s">
        <v>29</v>
      </c>
      <c r="C144" s="2" t="s">
        <v>30</v>
      </c>
      <c r="D144" s="15">
        <v>50000</v>
      </c>
    </row>
    <row r="147" spans="1:19">
      <c r="A147" t="s">
        <v>55</v>
      </c>
    </row>
    <row r="148" spans="1:19">
      <c r="A148" s="18" t="s">
        <v>66</v>
      </c>
    </row>
    <row r="149" spans="1:19">
      <c r="A149" t="s">
        <v>67</v>
      </c>
    </row>
    <row r="151" spans="1:19">
      <c r="A151" s="16" t="s">
        <v>7</v>
      </c>
      <c r="B151" s="1" t="s">
        <v>8</v>
      </c>
      <c r="C151" s="1" t="s">
        <v>28</v>
      </c>
      <c r="D151" s="16" t="s">
        <v>9</v>
      </c>
    </row>
    <row r="152" spans="1:19">
      <c r="A152" s="15">
        <v>101</v>
      </c>
      <c r="B152" s="2" t="s">
        <v>10</v>
      </c>
      <c r="C152" s="2" t="s">
        <v>30</v>
      </c>
      <c r="D152" s="15">
        <v>60000</v>
      </c>
    </row>
    <row r="153" spans="1:19" hidden="1">
      <c r="A153" s="15">
        <v>102</v>
      </c>
      <c r="B153" s="2" t="s">
        <v>11</v>
      </c>
      <c r="C153" s="2" t="s">
        <v>48</v>
      </c>
      <c r="D153" s="15">
        <v>55000</v>
      </c>
    </row>
    <row r="154" spans="1:19">
      <c r="A154" s="15">
        <v>103</v>
      </c>
      <c r="B154" s="2" t="s">
        <v>12</v>
      </c>
      <c r="C154" s="2" t="s">
        <v>30</v>
      </c>
      <c r="D154" s="15">
        <v>75000</v>
      </c>
    </row>
    <row r="155" spans="1:19" hidden="1">
      <c r="A155" s="15">
        <v>104</v>
      </c>
      <c r="B155" s="2" t="s">
        <v>46</v>
      </c>
      <c r="C155" s="2" t="s">
        <v>49</v>
      </c>
      <c r="D155" s="15">
        <v>65000</v>
      </c>
    </row>
    <row r="156" spans="1:19" hidden="1">
      <c r="A156" s="15">
        <v>105</v>
      </c>
      <c r="B156" s="2" t="s">
        <v>29</v>
      </c>
      <c r="C156" s="2" t="s">
        <v>30</v>
      </c>
      <c r="D156" s="15">
        <v>50000</v>
      </c>
    </row>
    <row r="158" spans="1:19">
      <c r="A158" s="14" t="s">
        <v>31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60" spans="1:19">
      <c r="A160" t="s">
        <v>68</v>
      </c>
    </row>
    <row r="162" spans="1:3">
      <c r="A162" t="s">
        <v>69</v>
      </c>
    </row>
    <row r="164" spans="1:3" ht="86.4">
      <c r="A164" s="19" t="s">
        <v>70</v>
      </c>
      <c r="B164" t="s">
        <v>71</v>
      </c>
    </row>
    <row r="167" spans="1:3">
      <c r="A167">
        <v>3</v>
      </c>
    </row>
    <row r="168" spans="1:3">
      <c r="A168" t="s">
        <v>19</v>
      </c>
      <c r="B168" t="s">
        <v>39</v>
      </c>
      <c r="C168" t="s">
        <v>72</v>
      </c>
    </row>
    <row r="169" spans="1:3">
      <c r="A169" t="s">
        <v>20</v>
      </c>
      <c r="B169" t="s">
        <v>73</v>
      </c>
      <c r="C169" t="s">
        <v>74</v>
      </c>
    </row>
    <row r="170" spans="1:3">
      <c r="A170" t="s">
        <v>21</v>
      </c>
      <c r="B170" t="s">
        <v>75</v>
      </c>
      <c r="C170" t="s">
        <v>76</v>
      </c>
    </row>
    <row r="172" spans="1:3">
      <c r="A172" t="s">
        <v>77</v>
      </c>
    </row>
    <row r="174" spans="1:3">
      <c r="A174" t="str" cm="1">
        <f t="array" ref="A174:C176">A168:C170</f>
        <v>A1</v>
      </c>
      <c r="B174" t="str">
        <v>B1</v>
      </c>
      <c r="C174" t="str">
        <v>C1</v>
      </c>
    </row>
    <row r="175" spans="1:3">
      <c r="A175" t="str">
        <v>A2</v>
      </c>
      <c r="B175" t="str">
        <v>B2</v>
      </c>
      <c r="C175" t="str">
        <v>C2</v>
      </c>
    </row>
    <row r="176" spans="1:3">
      <c r="A176" t="str">
        <v>A3</v>
      </c>
      <c r="B176" t="str">
        <v>B3</v>
      </c>
      <c r="C176" t="str">
        <v>C3</v>
      </c>
    </row>
    <row r="180" spans="1:3">
      <c r="A180">
        <v>4</v>
      </c>
    </row>
    <row r="181" spans="1:3">
      <c r="A181" t="s">
        <v>78</v>
      </c>
    </row>
    <row r="182" spans="1:3">
      <c r="A182" t="s">
        <v>79</v>
      </c>
    </row>
    <row r="184" spans="1:3">
      <c r="A184" t="s">
        <v>19</v>
      </c>
      <c r="B184" t="s">
        <v>39</v>
      </c>
      <c r="C184" t="s">
        <v>72</v>
      </c>
    </row>
    <row r="185" spans="1:3">
      <c r="A185" t="s">
        <v>20</v>
      </c>
      <c r="B185" t="s">
        <v>73</v>
      </c>
      <c r="C185" t="s">
        <v>74</v>
      </c>
    </row>
    <row r="186" spans="1:3">
      <c r="A186" t="s">
        <v>21</v>
      </c>
      <c r="B186" t="s">
        <v>75</v>
      </c>
      <c r="C186" t="s">
        <v>76</v>
      </c>
    </row>
    <row r="187" spans="1:3">
      <c r="A187" t="s">
        <v>22</v>
      </c>
      <c r="B187" t="s">
        <v>80</v>
      </c>
      <c r="C187" t="s">
        <v>81</v>
      </c>
    </row>
    <row r="188" spans="1:3">
      <c r="A188" t="s">
        <v>82</v>
      </c>
      <c r="B188" t="s">
        <v>83</v>
      </c>
      <c r="C188" t="s">
        <v>84</v>
      </c>
    </row>
    <row r="189" spans="1:3">
      <c r="A189" t="s">
        <v>85</v>
      </c>
      <c r="B189" t="s">
        <v>86</v>
      </c>
      <c r="C189" t="s">
        <v>87</v>
      </c>
    </row>
    <row r="191" spans="1:3">
      <c r="A191" t="str" cm="1">
        <f t="array" ref="A191:A195">B185:B189</f>
        <v>B2</v>
      </c>
    </row>
    <row r="192" spans="1:3">
      <c r="A192" t="str">
        <v>B3</v>
      </c>
    </row>
    <row r="193" spans="1:19">
      <c r="A193" t="str">
        <v>B4</v>
      </c>
    </row>
    <row r="194" spans="1:19">
      <c r="A194" t="str">
        <v>B5</v>
      </c>
    </row>
    <row r="195" spans="1:19">
      <c r="A195" t="str">
        <v>B6</v>
      </c>
    </row>
    <row r="198" spans="1:19">
      <c r="A198">
        <v>5</v>
      </c>
    </row>
    <row r="199" spans="1:19">
      <c r="A199" t="s">
        <v>92</v>
      </c>
    </row>
    <row r="200" spans="1:19">
      <c r="A200" s="17" t="s">
        <v>88</v>
      </c>
    </row>
    <row r="201" spans="1:19">
      <c r="A201" s="17" t="s">
        <v>89</v>
      </c>
    </row>
    <row r="202" spans="1:19">
      <c r="A202" s="17" t="s">
        <v>90</v>
      </c>
    </row>
    <row r="203" spans="1:19">
      <c r="A203" s="17" t="s">
        <v>91</v>
      </c>
    </row>
    <row r="205" spans="1:19">
      <c r="A205" s="18" t="s">
        <v>88</v>
      </c>
      <c r="B205" s="6" t="s">
        <v>89</v>
      </c>
      <c r="C205" s="6" t="s">
        <v>90</v>
      </c>
      <c r="D205" s="6" t="s">
        <v>91</v>
      </c>
    </row>
    <row r="206" spans="1:19">
      <c r="A206">
        <v>101</v>
      </c>
      <c r="B206" t="s">
        <v>10</v>
      </c>
      <c r="C206">
        <v>21</v>
      </c>
      <c r="D206" t="s">
        <v>93</v>
      </c>
    </row>
    <row r="208" spans="1:19">
      <c r="A208" s="14" t="s">
        <v>32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10" spans="1:4">
      <c r="A210" s="3" t="s">
        <v>33</v>
      </c>
      <c r="B210" s="3" t="s">
        <v>94</v>
      </c>
      <c r="C210" s="3" t="s">
        <v>95</v>
      </c>
      <c r="D210" s="3" t="s">
        <v>96</v>
      </c>
    </row>
    <row r="211" spans="1:4">
      <c r="A211" s="2" t="s">
        <v>35</v>
      </c>
      <c r="B211" s="2">
        <v>50000</v>
      </c>
      <c r="C211" s="2">
        <v>55000</v>
      </c>
      <c r="D211" s="2">
        <v>60000</v>
      </c>
    </row>
    <row r="212" spans="1:4">
      <c r="A212" s="2" t="s">
        <v>97</v>
      </c>
      <c r="B212" s="2">
        <v>30000</v>
      </c>
      <c r="C212" s="2">
        <v>32000</v>
      </c>
      <c r="D212" s="2">
        <v>35000</v>
      </c>
    </row>
    <row r="213" spans="1:4">
      <c r="A213" s="2" t="s">
        <v>98</v>
      </c>
      <c r="B213" s="2">
        <v>20000</v>
      </c>
      <c r="C213" s="2">
        <v>22000</v>
      </c>
      <c r="D213" s="2">
        <v>25000</v>
      </c>
    </row>
    <row r="215" spans="1:4">
      <c r="A215" t="s">
        <v>99</v>
      </c>
    </row>
    <row r="217" spans="1:4">
      <c r="A217" cm="1">
        <f t="array" ref="A217:C218">B212:D213</f>
        <v>30000</v>
      </c>
      <c r="B217">
        <v>32000</v>
      </c>
      <c r="C217">
        <v>35000</v>
      </c>
    </row>
    <row r="218" spans="1:4">
      <c r="A218">
        <v>20000</v>
      </c>
      <c r="B218">
        <v>22000</v>
      </c>
      <c r="C218">
        <v>25000</v>
      </c>
    </row>
    <row r="221" spans="1:4">
      <c r="A221">
        <v>100</v>
      </c>
      <c r="B221">
        <v>200</v>
      </c>
      <c r="C221">
        <v>300</v>
      </c>
    </row>
    <row r="224" spans="1:4">
      <c r="A224" t="s">
        <v>100</v>
      </c>
    </row>
    <row r="225" spans="1:2">
      <c r="A225">
        <f>A221+B221+C221</f>
        <v>600</v>
      </c>
      <c r="B225">
        <f>SUM(A221:C221)</f>
        <v>600</v>
      </c>
    </row>
    <row r="230" spans="1:2">
      <c r="A230" s="1" t="s">
        <v>104</v>
      </c>
    </row>
    <row r="231" spans="1:2">
      <c r="A231" s="2" t="s">
        <v>101</v>
      </c>
    </row>
    <row r="232" spans="1:2">
      <c r="A232" s="2" t="s">
        <v>102</v>
      </c>
    </row>
    <row r="233" spans="1:2">
      <c r="A233" s="2" t="s">
        <v>103</v>
      </c>
    </row>
    <row r="235" spans="1:2">
      <c r="A235" t="s">
        <v>105</v>
      </c>
    </row>
    <row r="236" spans="1:2">
      <c r="A236" t="s">
        <v>106</v>
      </c>
    </row>
    <row r="238" spans="1:2">
      <c r="A238" t="s">
        <v>107</v>
      </c>
    </row>
    <row r="240" spans="1:2">
      <c r="A240" s="2"/>
    </row>
    <row r="241" spans="1:2">
      <c r="A241" s="3" t="s">
        <v>33</v>
      </c>
      <c r="B241" s="16" t="s">
        <v>108</v>
      </c>
    </row>
    <row r="242" spans="1:2">
      <c r="A242" s="2" t="s">
        <v>4</v>
      </c>
      <c r="B242" s="15">
        <v>1000</v>
      </c>
    </row>
    <row r="243" spans="1:2">
      <c r="A243" s="2" t="s">
        <v>5</v>
      </c>
      <c r="B243" s="15">
        <v>2000</v>
      </c>
    </row>
    <row r="244" spans="1:2">
      <c r="A244" s="2" t="s">
        <v>6</v>
      </c>
      <c r="B244" s="15">
        <v>1500</v>
      </c>
    </row>
    <row r="245" spans="1:2">
      <c r="A245" s="2" t="s">
        <v>53</v>
      </c>
      <c r="B245" s="15">
        <v>2500</v>
      </c>
    </row>
    <row r="247" spans="1:2">
      <c r="A247" t="s">
        <v>109</v>
      </c>
    </row>
    <row r="249" spans="1:2">
      <c r="A249" cm="1">
        <f t="array" ref="A249:A252">B242:B245</f>
        <v>1000</v>
      </c>
    </row>
    <row r="250" spans="1:2">
      <c r="A250">
        <v>2000</v>
      </c>
    </row>
    <row r="251" spans="1:2">
      <c r="A251">
        <v>1500</v>
      </c>
    </row>
    <row r="252" spans="1:2">
      <c r="A252">
        <v>2500</v>
      </c>
    </row>
    <row r="254" spans="1:2">
      <c r="A254">
        <f>SUM(B242:B245)</f>
        <v>7000</v>
      </c>
    </row>
    <row r="257" spans="1:19">
      <c r="A257" t="s">
        <v>110</v>
      </c>
    </row>
    <row r="259" spans="1:19">
      <c r="A259" t="s">
        <v>111</v>
      </c>
    </row>
    <row r="263" spans="1:19">
      <c r="A263" s="14" t="s">
        <v>51</v>
      </c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1:19">
      <c r="A264">
        <v>21</v>
      </c>
    </row>
    <row r="265" spans="1:19">
      <c r="A265" t="s">
        <v>126</v>
      </c>
    </row>
    <row r="267" spans="1:19" ht="28.8">
      <c r="A267" s="1" t="s">
        <v>112</v>
      </c>
      <c r="B267" s="1" t="s">
        <v>127</v>
      </c>
      <c r="C267" s="1" t="s">
        <v>33</v>
      </c>
      <c r="D267" s="16" t="s">
        <v>42</v>
      </c>
      <c r="E267" s="16" t="s">
        <v>128</v>
      </c>
      <c r="F267" s="1" t="s">
        <v>129</v>
      </c>
    </row>
    <row r="268" spans="1:19">
      <c r="A268" s="2">
        <v>1001</v>
      </c>
      <c r="B268" s="2" t="s">
        <v>10</v>
      </c>
      <c r="C268" s="2" t="s">
        <v>35</v>
      </c>
      <c r="D268" s="15">
        <v>2</v>
      </c>
      <c r="E268" s="15">
        <v>100000</v>
      </c>
      <c r="F268" s="4">
        <v>46303</v>
      </c>
    </row>
    <row r="271" spans="1:19">
      <c r="A271">
        <v>22</v>
      </c>
    </row>
    <row r="272" spans="1:19">
      <c r="A272" s="3" t="s">
        <v>7</v>
      </c>
      <c r="B272" s="3" t="s">
        <v>8</v>
      </c>
      <c r="C272" s="3" t="s">
        <v>28</v>
      </c>
      <c r="D272" s="3" t="s">
        <v>9</v>
      </c>
    </row>
    <row r="273" spans="1:5">
      <c r="A273" s="2">
        <v>101</v>
      </c>
      <c r="B273" s="2" t="s">
        <v>10</v>
      </c>
      <c r="C273" s="2" t="s">
        <v>30</v>
      </c>
      <c r="D273" s="2">
        <v>60000</v>
      </c>
    </row>
    <row r="274" spans="1:5">
      <c r="A274" s="2">
        <v>102</v>
      </c>
      <c r="B274" s="2" t="s">
        <v>11</v>
      </c>
      <c r="C274" s="2" t="s">
        <v>48</v>
      </c>
      <c r="D274" s="2">
        <v>55000</v>
      </c>
    </row>
    <row r="275" spans="1:5">
      <c r="A275" s="2">
        <v>103</v>
      </c>
      <c r="B275" s="2" t="s">
        <v>12</v>
      </c>
      <c r="C275" s="2" t="s">
        <v>49</v>
      </c>
      <c r="D275" s="2">
        <v>70000</v>
      </c>
    </row>
    <row r="276" spans="1:5">
      <c r="A276" s="2">
        <v>104</v>
      </c>
      <c r="B276" s="2" t="s">
        <v>46</v>
      </c>
      <c r="C276" s="2" t="s">
        <v>30</v>
      </c>
      <c r="D276" s="2">
        <v>65000</v>
      </c>
      <c r="E276" t="s">
        <v>124</v>
      </c>
    </row>
    <row r="278" spans="1:5">
      <c r="A278" t="s">
        <v>125</v>
      </c>
    </row>
    <row r="281" spans="1:5">
      <c r="A281" s="3" t="s">
        <v>33</v>
      </c>
      <c r="B281" s="16" t="s">
        <v>34</v>
      </c>
      <c r="C281" s="16" t="s">
        <v>42</v>
      </c>
      <c r="D281" s="6" t="s">
        <v>123</v>
      </c>
    </row>
    <row r="282" spans="1:5">
      <c r="A282" s="2" t="s">
        <v>35</v>
      </c>
      <c r="B282" s="15">
        <v>50000</v>
      </c>
      <c r="C282" s="15">
        <v>2</v>
      </c>
      <c r="D282">
        <f>B282*C282</f>
        <v>100000</v>
      </c>
    </row>
    <row r="283" spans="1:5">
      <c r="A283" s="2" t="s">
        <v>36</v>
      </c>
      <c r="B283" s="15">
        <v>1000</v>
      </c>
      <c r="C283" s="15">
        <v>3</v>
      </c>
      <c r="D283">
        <f>B283*C283</f>
        <v>3000</v>
      </c>
    </row>
    <row r="287" spans="1:5">
      <c r="A287">
        <v>24</v>
      </c>
    </row>
    <row r="288" spans="1:5">
      <c r="A288" t="s">
        <v>117</v>
      </c>
    </row>
    <row r="289" spans="1:5">
      <c r="A289" t="s">
        <v>118</v>
      </c>
      <c r="B289" t="s">
        <v>28</v>
      </c>
      <c r="C289" t="s">
        <v>9</v>
      </c>
      <c r="D289" t="s">
        <v>119</v>
      </c>
    </row>
    <row r="290" spans="1:5">
      <c r="A290" t="s">
        <v>10</v>
      </c>
      <c r="B290" t="s">
        <v>30</v>
      </c>
      <c r="C290">
        <v>60000</v>
      </c>
      <c r="D290" t="s">
        <v>120</v>
      </c>
    </row>
    <row r="291" spans="1:5">
      <c r="A291" t="s">
        <v>11</v>
      </c>
      <c r="B291" t="s">
        <v>48</v>
      </c>
      <c r="C291">
        <v>55000</v>
      </c>
      <c r="D291" t="s">
        <v>121</v>
      </c>
    </row>
    <row r="292" spans="1:5">
      <c r="A292" t="s">
        <v>12</v>
      </c>
      <c r="B292" t="s">
        <v>49</v>
      </c>
      <c r="C292">
        <v>70000</v>
      </c>
      <c r="D292" t="s">
        <v>122</v>
      </c>
    </row>
    <row r="296" spans="1:5">
      <c r="A296">
        <v>25</v>
      </c>
    </row>
    <row r="297" spans="1:5" ht="43.2">
      <c r="A297" s="16" t="s">
        <v>112</v>
      </c>
      <c r="B297" s="1" t="s">
        <v>33</v>
      </c>
      <c r="C297" s="16" t="s">
        <v>42</v>
      </c>
      <c r="D297" s="16" t="s">
        <v>34</v>
      </c>
      <c r="E297" s="16" t="s">
        <v>116</v>
      </c>
    </row>
    <row r="298" spans="1:5">
      <c r="A298" s="15">
        <v>1001</v>
      </c>
      <c r="B298" s="2" t="s">
        <v>35</v>
      </c>
      <c r="C298" s="15">
        <v>2</v>
      </c>
      <c r="D298" s="15">
        <v>50000</v>
      </c>
      <c r="E298">
        <f>C298*D298</f>
        <v>100000</v>
      </c>
    </row>
    <row r="299" spans="1:5">
      <c r="A299" s="15">
        <v>1002</v>
      </c>
      <c r="B299" s="2" t="s">
        <v>36</v>
      </c>
      <c r="C299" s="15">
        <v>5</v>
      </c>
      <c r="D299" s="15">
        <v>1000</v>
      </c>
      <c r="E299">
        <f t="shared" ref="E299:E301" si="0">C299*D299</f>
        <v>5000</v>
      </c>
    </row>
    <row r="300" spans="1:5">
      <c r="A300" s="15">
        <v>1003</v>
      </c>
      <c r="B300" s="2" t="s">
        <v>113</v>
      </c>
      <c r="C300" s="15">
        <v>3</v>
      </c>
      <c r="D300" s="15">
        <v>2000</v>
      </c>
      <c r="E300">
        <f t="shared" si="0"/>
        <v>6000</v>
      </c>
    </row>
    <row r="301" spans="1:5">
      <c r="A301" s="15">
        <v>1004</v>
      </c>
      <c r="B301" s="2" t="s">
        <v>114</v>
      </c>
      <c r="C301" s="15">
        <v>2</v>
      </c>
      <c r="D301" s="15">
        <v>15000</v>
      </c>
      <c r="E301">
        <f t="shared" si="0"/>
        <v>30000</v>
      </c>
    </row>
    <row r="303" spans="1:5">
      <c r="A303" t="s">
        <v>55</v>
      </c>
    </row>
    <row r="304" spans="1:5">
      <c r="A304" s="17" t="s">
        <v>115</v>
      </c>
    </row>
  </sheetData>
  <autoFilter ref="A151:D156" xr:uid="{00000000-0001-0000-0000-000000000000}">
    <filterColumn colId="2">
      <filters>
        <filter val="IT"/>
      </filters>
    </filterColumn>
    <filterColumn colId="3">
      <filters>
        <filter val="60000"/>
        <filter val="75000"/>
      </filters>
    </filterColumn>
  </autoFilter>
  <sortState xmlns:xlrd2="http://schemas.microsoft.com/office/spreadsheetml/2017/richdata2" ref="A71:B74">
    <sortCondition descending="1" ref="B71:B74"/>
  </sortState>
  <mergeCells count="6">
    <mergeCell ref="A263:S263"/>
    <mergeCell ref="A32:S32"/>
    <mergeCell ref="A1:S1"/>
    <mergeCell ref="A97:S97"/>
    <mergeCell ref="A158:S158"/>
    <mergeCell ref="A208:S2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CECD-88A2-483C-AFD3-86C81E903C9F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34DE-9CF7-4CBE-A55C-851496A9A308}">
  <dimension ref="A1"/>
  <sheetViews>
    <sheetView workbookViewId="0">
      <selection activeCell="D17" sqref="D17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Salary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Pujari</dc:creator>
  <cp:lastModifiedBy>Parag Pujari</cp:lastModifiedBy>
  <dcterms:created xsi:type="dcterms:W3CDTF">2015-06-05T18:17:20Z</dcterms:created>
  <dcterms:modified xsi:type="dcterms:W3CDTF">2026-10-08T07:41:33Z</dcterms:modified>
</cp:coreProperties>
</file>