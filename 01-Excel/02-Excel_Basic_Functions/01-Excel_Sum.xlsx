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enerative_AI\Machine_Learning_Algorithms\Modern Data Analytics\01-Excel\02-Basic_Functions\"/>
    </mc:Choice>
  </mc:AlternateContent>
  <xr:revisionPtr revIDLastSave="0" documentId="13_ncr:1_{A6ABCA44-6520-4B8B-AA52-E923943193CE}" xr6:coauthVersionLast="47" xr6:coauthVersionMax="47" xr10:uidLastSave="{00000000-0000-0000-0000-000000000000}"/>
  <bookViews>
    <workbookView xWindow="-108" yWindow="-108" windowWidth="23256" windowHeight="12456" xr2:uid="{40EA3B2E-B7B8-468E-9A54-E3799DFD21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9" i="1" l="1"/>
  <c r="C265" i="1"/>
  <c r="B257" i="1"/>
  <c r="A249" i="1"/>
  <c r="B177" i="1"/>
  <c r="C219" i="1"/>
  <c r="B219" i="1"/>
  <c r="D219" i="1" s="1"/>
  <c r="B204" i="1"/>
  <c r="A189" i="1"/>
  <c r="C181" i="1"/>
  <c r="B173" i="1"/>
  <c r="C168" i="1"/>
  <c r="B168" i="1"/>
  <c r="D168" i="1" s="1"/>
  <c r="B161" i="1"/>
  <c r="B160" i="1"/>
  <c r="B154" i="1"/>
  <c r="B153" i="1"/>
  <c r="B146" i="1"/>
  <c r="G130" i="1"/>
  <c r="F125" i="1"/>
  <c r="E120" i="1"/>
  <c r="E115" i="1"/>
  <c r="E110" i="1"/>
  <c r="F105" i="1"/>
  <c r="G100" i="1"/>
  <c r="F95" i="1"/>
  <c r="E91" i="1"/>
  <c r="E87" i="1"/>
  <c r="A80" i="1"/>
  <c r="A70" i="1"/>
  <c r="D61" i="1"/>
  <c r="A53" i="1"/>
  <c r="A44" i="1"/>
  <c r="A42" i="1"/>
  <c r="C42" i="1" s="1"/>
  <c r="A36" i="1"/>
  <c r="A30" i="1"/>
  <c r="A24" i="1"/>
  <c r="A19" i="1"/>
</calcChain>
</file>

<file path=xl/sharedStrings.xml><?xml version="1.0" encoding="utf-8"?>
<sst xmlns="http://schemas.openxmlformats.org/spreadsheetml/2006/main" count="172" uniqueCount="133">
  <si>
    <t>Excel : SUM</t>
  </si>
  <si>
    <t>Employee</t>
  </si>
  <si>
    <t>Deprtment</t>
  </si>
  <si>
    <t>Sales</t>
  </si>
  <si>
    <t>Target</t>
  </si>
  <si>
    <t>Emp Id</t>
  </si>
  <si>
    <t>Amit</t>
  </si>
  <si>
    <t>Priya</t>
  </si>
  <si>
    <t>HR</t>
  </si>
  <si>
    <t>Rahul</t>
  </si>
  <si>
    <t>Sneha</t>
  </si>
  <si>
    <t>IT</t>
  </si>
  <si>
    <t>Kiran</t>
  </si>
  <si>
    <t>Neha</t>
  </si>
  <si>
    <t>Arjun</t>
  </si>
  <si>
    <t>Basic Level Interview Questions</t>
  </si>
  <si>
    <t>1.     How do you add the values in cells A15, A16 and A17?</t>
  </si>
  <si>
    <t>2.   How do you calculate the total sales in Sales column?</t>
  </si>
  <si>
    <r>
      <rPr>
        <b/>
        <sz val="11"/>
        <color theme="1"/>
        <rFont val="Aptos Narrow"/>
        <family val="2"/>
        <scheme val="minor"/>
      </rPr>
      <t xml:space="preserve">Observations:   </t>
    </r>
    <r>
      <rPr>
        <sz val="11"/>
        <color theme="1"/>
        <rFont val="Aptos Narrow"/>
        <family val="2"/>
        <scheme val="minor"/>
      </rPr>
      <t>The total sales is calculated by using the SUM function that considers all the values in the Sales column of the dataset and sums all the values</t>
    </r>
  </si>
  <si>
    <r>
      <t xml:space="preserve"> </t>
    </r>
    <r>
      <rPr>
        <b/>
        <sz val="11"/>
        <color theme="1"/>
        <rFont val="Aptos Narrow"/>
        <family val="2"/>
        <scheme val="minor"/>
      </rPr>
      <t>Observations</t>
    </r>
    <r>
      <rPr>
        <sz val="11"/>
        <color theme="1"/>
        <rFont val="Aptos Narrow"/>
        <family val="2"/>
        <scheme val="minor"/>
      </rPr>
      <t>:    The values in A15, A16, A17 are added by using a SUM function that takes the values from A15 till17  and sums all the values.</t>
    </r>
  </si>
  <si>
    <t>3.      How do you add non-adjacent cells Sales column?</t>
  </si>
  <si>
    <r>
      <rPr>
        <b/>
        <sz val="11"/>
        <color theme="1"/>
        <rFont val="Aptos Narrow"/>
        <family val="2"/>
        <scheme val="minor"/>
      </rPr>
      <t>Observations</t>
    </r>
    <r>
      <rPr>
        <sz val="11"/>
        <color theme="1"/>
        <rFont val="Aptos Narrow"/>
        <family val="2"/>
        <scheme val="minor"/>
      </rPr>
      <t>:   The total sales is calculated by using the SUM function that considers the alternate values in the Sales column and adds all the sales values in the alternate column and gives the final sum.</t>
    </r>
  </si>
  <si>
    <t>4.     How do you add two separate ranges,D3:D9 and E3:E9?</t>
  </si>
  <si>
    <r>
      <t xml:space="preserve">Observations:  </t>
    </r>
    <r>
      <rPr>
        <sz val="11"/>
        <color theme="1"/>
        <rFont val="Aptos Narrow"/>
        <family val="2"/>
        <scheme val="minor"/>
      </rPr>
      <t>Here all the values in the sales column (D3:D9) is considered and added . Then all the values in the target column(E3:E9) is considered and added together. Then the result of addition of Sales and Target is added together to get the final result.</t>
    </r>
  </si>
  <si>
    <t>5.   How do you add a range of numbers and an additional number 100?</t>
  </si>
  <si>
    <r>
      <rPr>
        <b/>
        <sz val="11"/>
        <color theme="1"/>
        <rFont val="Aptos Narrow"/>
        <family val="2"/>
        <scheme val="minor"/>
      </rPr>
      <t>Observations</t>
    </r>
    <r>
      <rPr>
        <sz val="11"/>
        <color theme="1"/>
        <rFont val="Aptos Narrow"/>
        <family val="2"/>
        <scheme val="minor"/>
      </rPr>
      <t>:  All the values in the sales column (range of numbers) are added together using SUM and then an additional number 100 is used inside the SUM function and then added together.</t>
    </r>
  </si>
  <si>
    <t>6.      A49:A52 contains 10, 20, 30 and 40. Find the total</t>
  </si>
  <si>
    <t>Total</t>
  </si>
  <si>
    <r>
      <rPr>
        <b/>
        <sz val="11"/>
        <color theme="1"/>
        <rFont val="Aptos Narrow"/>
        <family val="2"/>
        <scheme val="minor"/>
      </rPr>
      <t>Observations</t>
    </r>
    <r>
      <rPr>
        <sz val="11"/>
        <color theme="1"/>
        <rFont val="Aptos Narrow"/>
        <family val="2"/>
        <scheme val="minor"/>
      </rPr>
      <t>:   The sum of all the values ranging from A49:A52 is 100.</t>
    </r>
  </si>
  <si>
    <t>7.     How do you calculate total expenses stored in B2:B20?</t>
  </si>
  <si>
    <r>
      <rPr>
        <b/>
        <sz val="11"/>
        <color theme="1"/>
        <rFont val="Aptos Narrow"/>
        <family val="2"/>
        <scheme val="minor"/>
      </rPr>
      <t>Observations</t>
    </r>
    <r>
      <rPr>
        <sz val="11"/>
        <color theme="1"/>
        <rFont val="Aptos Narrow"/>
        <family val="2"/>
        <scheme val="minor"/>
      </rPr>
      <t>:   The total expenses can be calculated by using the formula SUM(B2:B20)</t>
    </r>
  </si>
  <si>
    <t>8.    How do you add values in A61, B61 and C61?</t>
  </si>
  <si>
    <r>
      <rPr>
        <b/>
        <sz val="11"/>
        <color theme="1"/>
        <rFont val="Aptos Narrow"/>
        <family val="2"/>
        <scheme val="minor"/>
      </rPr>
      <t>Observations</t>
    </r>
    <r>
      <rPr>
        <sz val="11"/>
        <color theme="1"/>
        <rFont val="Aptos Narrow"/>
        <family val="2"/>
        <scheme val="minor"/>
      </rPr>
      <t>:  All the values in A61,B61 and C61 is added by using the formula SUM(A61:C61)</t>
    </r>
  </si>
  <si>
    <t>9.      A66:A69 contains 10, 20, blank, 30 and 40. What is the SUM result?</t>
  </si>
  <si>
    <r>
      <rPr>
        <b/>
        <sz val="11"/>
        <color theme="1"/>
        <rFont val="Aptos Narrow"/>
        <family val="2"/>
        <scheme val="minor"/>
      </rPr>
      <t>Observations</t>
    </r>
    <r>
      <rPr>
        <sz val="11"/>
        <color theme="1"/>
        <rFont val="Aptos Narrow"/>
        <family val="2"/>
        <scheme val="minor"/>
      </rPr>
      <t>:  All the values from A66:A69 are added by using the SUM function(A66:A69) where it adds all the values in the column from A66 till A69</t>
    </r>
  </si>
  <si>
    <t>10.      What happens when you use =SUM(A74:A79) and one cell contains the text "Hello"?</t>
  </si>
  <si>
    <t>Hello</t>
  </si>
  <si>
    <r>
      <rPr>
        <b/>
        <sz val="11"/>
        <color theme="1"/>
        <rFont val="Aptos Narrow"/>
        <family val="2"/>
        <scheme val="minor"/>
      </rPr>
      <t>Observations</t>
    </r>
    <r>
      <rPr>
        <sz val="11"/>
        <color theme="1"/>
        <rFont val="Aptos Narrow"/>
        <family val="2"/>
        <scheme val="minor"/>
      </rPr>
      <t>:   We have all numbers from A74:A79 except at column A77 which has "Hello". While using the SUM function from A74:A79, it adds all the numbers in it but ignores the cell A77 that has text 'hello' in it.</t>
    </r>
  </si>
  <si>
    <t>Intermediate Level Interview Questions</t>
  </si>
  <si>
    <t>11.       A company records sales of ₹5,000, ₹7,000, ₹6,000 and ₹8,000. Find total sales</t>
  </si>
  <si>
    <t>Total Sales</t>
  </si>
  <si>
    <t>12.    A department has monthly expenses of ₹12,000, ₹15,000, ₹10,000 and ₹13,000. Calculate total expenses</t>
  </si>
  <si>
    <t>Total expenses</t>
  </si>
  <si>
    <t>13.   A team has five employees with sales of ₹4,000, ₹6,000, ₹8,000, ₹5,000 and ₹7,000. Calculate total sales</t>
  </si>
  <si>
    <t>14.   A business has a budget of ₹1,00,000. Actual expenses are ₹20,000, ₹25,000, ₹15,000 and ₹10,000. Calculate the remaining budget</t>
  </si>
  <si>
    <t>Total budget</t>
  </si>
  <si>
    <t>Exp1</t>
  </si>
  <si>
    <t>Exp2</t>
  </si>
  <si>
    <t>Exp3</t>
  </si>
  <si>
    <t>Exp4</t>
  </si>
  <si>
    <t>Exp5</t>
  </si>
  <si>
    <t>15.    A store earns ₹15,000 in Week 1, ₹18,000 in Week 2, ₹12,000 in Week 3 and ₹20,000 in Week 4. Calculate quarterly-period sales for these four weeks</t>
  </si>
  <si>
    <t>Week1</t>
  </si>
  <si>
    <t>Week2</t>
  </si>
  <si>
    <t>Week3</t>
  </si>
  <si>
    <t>Week4</t>
  </si>
  <si>
    <t>Total sales</t>
  </si>
  <si>
    <t>16.    A company has sales of ₹50,000, returns of ₹5,000 and additional sales of ₹10,000. Calculate net sales</t>
  </si>
  <si>
    <t>Sales return</t>
  </si>
  <si>
    <t>Additional sales</t>
  </si>
  <si>
    <t>Net sales = Total sales-Sales return</t>
  </si>
  <si>
    <t>17.    A project has expenses of ₹8,000 for travel, ₹12,000 for equipment and ₹5,000 for training. Calculate total project expenses</t>
  </si>
  <si>
    <t>Expenses:</t>
  </si>
  <si>
    <t>Travel</t>
  </si>
  <si>
    <t>Equipment</t>
  </si>
  <si>
    <t>Training</t>
  </si>
  <si>
    <t>Total project expense</t>
  </si>
  <si>
    <t>18.     A sales team generates ₹25,000 in January, ₹30,000 in February and ₹45,000 in March. What are the total sales</t>
  </si>
  <si>
    <t>January</t>
  </si>
  <si>
    <t>February</t>
  </si>
  <si>
    <t>March</t>
  </si>
  <si>
    <t>19.    A company earns ₹2,50,000 in revenue and has expenses of ₹80,000, ₹60,000 and ₹40,000. Calculate profit</t>
  </si>
  <si>
    <t>Revenue</t>
  </si>
  <si>
    <t>Expense1</t>
  </si>
  <si>
    <t>Expense2</t>
  </si>
  <si>
    <t>Expense3</t>
  </si>
  <si>
    <t>Profit</t>
  </si>
  <si>
    <t>20.   A warehouse records 120, 150, 180, 200 and 250 units dispatched over five days. Calculate total dispatched units</t>
  </si>
  <si>
    <t>Dispatched unit</t>
  </si>
  <si>
    <t>Day1</t>
  </si>
  <si>
    <t>Day2</t>
  </si>
  <si>
    <t>Day3</t>
  </si>
  <si>
    <t>Day4</t>
  </si>
  <si>
    <t>Day5</t>
  </si>
  <si>
    <t>Total dispatched units</t>
  </si>
  <si>
    <t>Analytical Based Interview Questions</t>
  </si>
  <si>
    <t>21.     Calculate the total sales made by employees in the Sales department(Use the dataset at the beginning of this exercise)</t>
  </si>
  <si>
    <r>
      <rPr>
        <b/>
        <sz val="11"/>
        <color theme="1"/>
        <rFont val="Aptos Narrow"/>
        <family val="2"/>
        <scheme val="minor"/>
      </rPr>
      <t>Observations</t>
    </r>
    <r>
      <rPr>
        <sz val="11"/>
        <color theme="1"/>
        <rFont val="Aptos Narrow"/>
        <family val="2"/>
        <scheme val="minor"/>
      </rPr>
      <t>:   The total sales made by the employees in the Sales department is 33000</t>
    </r>
  </si>
  <si>
    <t>22.    Calculate total sales for the IT department</t>
  </si>
  <si>
    <t>Total IT Sales</t>
  </si>
  <si>
    <r>
      <rPr>
        <b/>
        <sz val="11"/>
        <color theme="1"/>
        <rFont val="Aptos Narrow"/>
        <family val="2"/>
        <scheme val="minor"/>
      </rPr>
      <t>Observations</t>
    </r>
    <r>
      <rPr>
        <sz val="11"/>
        <color theme="1"/>
        <rFont val="Aptos Narrow"/>
        <family val="2"/>
        <scheme val="minor"/>
      </rPr>
      <t>:   The total sales for IT department is 9500</t>
    </r>
  </si>
  <si>
    <t>23.    Calculate total sales for employees whose sales exceed ₹5,000</t>
  </si>
  <si>
    <r>
      <rPr>
        <b/>
        <sz val="11"/>
        <color theme="1"/>
        <rFont val="Aptos Narrow"/>
        <family val="2"/>
        <scheme val="minor"/>
      </rPr>
      <t>Observations</t>
    </r>
    <r>
      <rPr>
        <sz val="11"/>
        <color theme="1"/>
        <rFont val="Aptos Narrow"/>
        <family val="2"/>
        <scheme val="minor"/>
      </rPr>
      <t>:   The total sales for employees whose sales exceed 5000 is 18500</t>
    </r>
  </si>
  <si>
    <t>24.   Calculate the combined sales of the Sales and IT departments</t>
  </si>
  <si>
    <t>25.     Calculate the total sales for employees whose sales are at least ₹5,000</t>
  </si>
  <si>
    <t>26.    Calculate total sales for the Sales department when the sales value is greater than ₹5,000</t>
  </si>
  <si>
    <t>27.    Calculate total sales from cells D137:D143 and E137:E143, ignoring blank cells</t>
  </si>
  <si>
    <t>28.    Cells A184:A188 contain 100, 200, 300, 400 and 500. Calculate the sum excluding the value in A186</t>
  </si>
  <si>
    <t>29.    A dataset contains monthly sales in B192:B203. Calculate the total sales for the first six months only</t>
  </si>
  <si>
    <t>April</t>
  </si>
  <si>
    <t>May</t>
  </si>
  <si>
    <t>June</t>
  </si>
  <si>
    <t>July</t>
  </si>
  <si>
    <t>August</t>
  </si>
  <si>
    <t>September</t>
  </si>
  <si>
    <t>October</t>
  </si>
  <si>
    <t>November</t>
  </si>
  <si>
    <t>December</t>
  </si>
  <si>
    <r>
      <rPr>
        <b/>
        <sz val="11"/>
        <color theme="1"/>
        <rFont val="Aptos Narrow"/>
        <family val="2"/>
        <scheme val="minor"/>
      </rPr>
      <t>Observations</t>
    </r>
    <r>
      <rPr>
        <sz val="11"/>
        <color theme="1"/>
        <rFont val="Aptos Narrow"/>
        <family val="2"/>
        <scheme val="minor"/>
      </rPr>
      <t>:     The total sales for the first six months is 21000</t>
    </r>
  </si>
  <si>
    <t>Actual</t>
  </si>
  <si>
    <t>Approved</t>
  </si>
  <si>
    <t>30.      A company has actual expenses in B209:B218 and approved expenses in C209:C218. Calculate the difference between total actual and total approved expenses</t>
  </si>
  <si>
    <r>
      <rPr>
        <b/>
        <sz val="11"/>
        <color theme="1"/>
        <rFont val="Aptos Narrow"/>
        <family val="2"/>
        <scheme val="minor"/>
      </rPr>
      <t>Observations</t>
    </r>
    <r>
      <rPr>
        <sz val="11"/>
        <color theme="1"/>
        <rFont val="Aptos Narrow"/>
        <family val="2"/>
        <scheme val="minor"/>
      </rPr>
      <t>:  The difference between total actual and approved expenses is 49500</t>
    </r>
  </si>
  <si>
    <t>Interview Level Questions</t>
  </si>
  <si>
    <t>31.       What is the difference between SUM and SUMIF?</t>
  </si>
  <si>
    <t>SUM  =  It adds the values present in a particular row or column.</t>
  </si>
  <si>
    <t>SUMIF = It adds the value based on one particular condition.</t>
  </si>
  <si>
    <t>32.    What is the difference between SUMIF and SUMIFS?</t>
  </si>
  <si>
    <t>SUMIF = It is used to test only one condition.</t>
  </si>
  <si>
    <t>SUMIFS = It is used to test multiple conditions.</t>
  </si>
  <si>
    <t>33.    Why might =SUM(A237:A239) return zero even though the cells look like numbers?</t>
  </si>
  <si>
    <r>
      <rPr>
        <b/>
        <sz val="11"/>
        <color theme="1"/>
        <rFont val="Aptos Narrow"/>
        <family val="2"/>
        <scheme val="minor"/>
      </rPr>
      <t>Observations</t>
    </r>
    <r>
      <rPr>
        <sz val="11"/>
        <color theme="1"/>
        <rFont val="Aptos Narrow"/>
        <family val="2"/>
        <scheme val="minor"/>
      </rPr>
      <t>:         SUM(A237:239)   return zero even though the cells look like numbers because some of the cells may have text. To solve it, we may use SUMPRODUCT(VALUE(A237:239))</t>
    </r>
  </si>
  <si>
    <t>34.    How do you calculate the total of cells A240:A245 while ignoring errors such as #N/A?</t>
  </si>
  <si>
    <t>N/A</t>
  </si>
  <si>
    <t>35.   How do you sum values from multiple worksheets named Jan, Feb and Mar, where each worksheet stores the amounts in B2:B10?</t>
  </si>
  <si>
    <r>
      <rPr>
        <b/>
        <sz val="11"/>
        <color theme="1"/>
        <rFont val="Aptos Narrow"/>
        <family val="2"/>
        <scheme val="minor"/>
      </rPr>
      <t>Observations</t>
    </r>
    <r>
      <rPr>
        <sz val="11"/>
        <color theme="1"/>
        <rFont val="Aptos Narrow"/>
        <family val="2"/>
        <scheme val="minor"/>
      </rPr>
      <t>:    SUM(Jan:Mar!B2:B10)</t>
    </r>
  </si>
  <si>
    <t>36.   How do you calculate total sales for the Sales department when sales are between ₹4,000 and ₹6,000, inclusive</t>
  </si>
  <si>
    <t>37.    How can you calculate the sum of visible rows only after applying a filter?</t>
  </si>
  <si>
    <r>
      <rPr>
        <b/>
        <sz val="11"/>
        <color theme="1"/>
        <rFont val="Aptos Narrow"/>
        <family val="2"/>
        <scheme val="minor"/>
      </rPr>
      <t>Observations</t>
    </r>
    <r>
      <rPr>
        <sz val="11"/>
        <color theme="1"/>
        <rFont val="Aptos Narrow"/>
        <family val="2"/>
        <scheme val="minor"/>
      </rPr>
      <t>:     =SUBTOTAL(109,C2:C8)</t>
    </r>
  </si>
  <si>
    <t>38.    How do you calculate the total sales for employees whose names start with the letter A?</t>
  </si>
  <si>
    <t>39.    How do you calculate total sales for employees whose department is not HR?</t>
  </si>
  <si>
    <t>40.   A business has sales in B2:B1000. How do you calculate the total sales while avoiding manually selecting the range every time new rows are added?</t>
  </si>
  <si>
    <r>
      <rPr>
        <b/>
        <sz val="11"/>
        <color theme="1"/>
        <rFont val="Aptos Narrow"/>
        <family val="2"/>
        <scheme val="minor"/>
      </rPr>
      <t>Observations</t>
    </r>
    <r>
      <rPr>
        <sz val="11"/>
        <color theme="1"/>
        <rFont val="Aptos Narrow"/>
        <family val="2"/>
        <scheme val="minor"/>
      </rPr>
      <t>:   SUM(Table1[Sales])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</si>
</sst>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0" fillId="0" borderId="1" xfId="0" applyBorder="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9C7C4-0A74-4B27-9004-4ADE5C90E832}">
  <dimension ref="A1:S273"/>
  <sheetViews>
    <sheetView tabSelected="1" workbookViewId="0">
      <selection activeCell="K264" sqref="K264"/>
    </sheetView>
  </sheetViews>
  <sheetFormatPr defaultRowHeight="14.4" x14ac:dyDescent="0.3"/>
  <cols>
    <col min="2" max="2" width="9.21875" bestFit="1" customWidth="1"/>
    <col min="3" max="3" width="9.5546875" bestFit="1" customWidth="1"/>
    <col min="7" max="7" width="20.88671875" customWidth="1"/>
  </cols>
  <sheetData>
    <row r="1" spans="1:19" ht="15" thickBot="1" x14ac:dyDescent="0.35">
      <c r="A1" s="2" t="s">
        <v>0</v>
      </c>
      <c r="B1" s="1"/>
      <c r="C1" s="1"/>
      <c r="D1" s="1"/>
      <c r="E1" s="1"/>
      <c r="F1" s="1"/>
      <c r="G1" s="1"/>
      <c r="H1" s="1"/>
      <c r="I1" s="1"/>
      <c r="J1" s="1"/>
      <c r="K1" s="1"/>
      <c r="L1" s="1"/>
      <c r="M1" s="1"/>
      <c r="N1" s="1"/>
      <c r="O1" s="1"/>
      <c r="P1" s="1"/>
      <c r="Q1" s="1"/>
      <c r="R1" s="1"/>
      <c r="S1" s="1"/>
    </row>
    <row r="2" spans="1:19" x14ac:dyDescent="0.3">
      <c r="A2" s="5" t="s">
        <v>5</v>
      </c>
      <c r="B2" s="6" t="s">
        <v>1</v>
      </c>
      <c r="C2" s="6" t="s">
        <v>2</v>
      </c>
      <c r="D2" s="6" t="s">
        <v>3</v>
      </c>
      <c r="E2" s="7" t="s">
        <v>4</v>
      </c>
    </row>
    <row r="3" spans="1:19" x14ac:dyDescent="0.3">
      <c r="A3" s="8">
        <v>1</v>
      </c>
      <c r="B3" s="4" t="s">
        <v>6</v>
      </c>
      <c r="C3" s="4" t="s">
        <v>3</v>
      </c>
      <c r="D3" s="4">
        <v>5000</v>
      </c>
      <c r="E3" s="9">
        <v>4000</v>
      </c>
    </row>
    <row r="4" spans="1:19" x14ac:dyDescent="0.3">
      <c r="A4" s="8">
        <v>2</v>
      </c>
      <c r="B4" s="4" t="s">
        <v>7</v>
      </c>
      <c r="C4" s="4" t="s">
        <v>8</v>
      </c>
      <c r="D4" s="4">
        <v>3000</v>
      </c>
      <c r="E4" s="9">
        <v>3500</v>
      </c>
    </row>
    <row r="5" spans="1:19" x14ac:dyDescent="0.3">
      <c r="A5" s="8">
        <v>3</v>
      </c>
      <c r="B5" s="4" t="s">
        <v>9</v>
      </c>
      <c r="C5" s="4" t="s">
        <v>3</v>
      </c>
      <c r="D5" s="4">
        <v>7000</v>
      </c>
      <c r="E5" s="9">
        <v>6000</v>
      </c>
    </row>
    <row r="6" spans="1:19" x14ac:dyDescent="0.3">
      <c r="A6" s="8">
        <v>4</v>
      </c>
      <c r="B6" s="4" t="s">
        <v>10</v>
      </c>
      <c r="C6" s="4" t="s">
        <v>11</v>
      </c>
      <c r="D6" s="4">
        <v>4000</v>
      </c>
      <c r="E6" s="9">
        <v>4500</v>
      </c>
    </row>
    <row r="7" spans="1:19" x14ac:dyDescent="0.3">
      <c r="A7" s="8">
        <v>5</v>
      </c>
      <c r="B7" s="4" t="s">
        <v>12</v>
      </c>
      <c r="C7" s="4" t="s">
        <v>3</v>
      </c>
      <c r="D7" s="4">
        <v>6000</v>
      </c>
      <c r="E7" s="9">
        <v>5500</v>
      </c>
    </row>
    <row r="8" spans="1:19" x14ac:dyDescent="0.3">
      <c r="A8" s="8">
        <v>6</v>
      </c>
      <c r="B8" s="4" t="s">
        <v>13</v>
      </c>
      <c r="C8" s="4" t="s">
        <v>8</v>
      </c>
      <c r="D8" s="4">
        <v>2500</v>
      </c>
      <c r="E8" s="9">
        <v>3000</v>
      </c>
    </row>
    <row r="9" spans="1:19" ht="15" thickBot="1" x14ac:dyDescent="0.35">
      <c r="A9" s="10">
        <v>7</v>
      </c>
      <c r="B9" s="11" t="s">
        <v>14</v>
      </c>
      <c r="C9" s="11" t="s">
        <v>11</v>
      </c>
      <c r="D9" s="11">
        <v>5500</v>
      </c>
      <c r="E9" s="12">
        <v>5000</v>
      </c>
    </row>
    <row r="12" spans="1:19" x14ac:dyDescent="0.3">
      <c r="A12" s="2" t="s">
        <v>15</v>
      </c>
      <c r="B12" s="1"/>
      <c r="C12" s="1"/>
      <c r="D12" s="1"/>
      <c r="E12" s="1"/>
      <c r="F12" s="1"/>
      <c r="G12" s="1"/>
      <c r="H12" s="1"/>
      <c r="I12" s="1"/>
      <c r="J12" s="1"/>
      <c r="K12" s="1"/>
      <c r="L12" s="1"/>
      <c r="M12" s="1"/>
      <c r="N12" s="1"/>
      <c r="O12" s="1"/>
      <c r="P12" s="1"/>
      <c r="Q12" s="1"/>
      <c r="R12" s="1"/>
      <c r="S12" s="1"/>
    </row>
    <row r="14" spans="1:19" x14ac:dyDescent="0.3">
      <c r="A14" t="s">
        <v>16</v>
      </c>
    </row>
    <row r="15" spans="1:19" x14ac:dyDescent="0.3">
      <c r="A15">
        <v>10</v>
      </c>
    </row>
    <row r="16" spans="1:19" x14ac:dyDescent="0.3">
      <c r="A16">
        <v>20</v>
      </c>
    </row>
    <row r="17" spans="1:1" x14ac:dyDescent="0.3">
      <c r="A17">
        <v>30</v>
      </c>
    </row>
    <row r="19" spans="1:1" x14ac:dyDescent="0.3">
      <c r="A19">
        <f>SUM(A15:A17)</f>
        <v>60</v>
      </c>
    </row>
    <row r="20" spans="1:1" x14ac:dyDescent="0.3">
      <c r="A20" t="s">
        <v>19</v>
      </c>
    </row>
    <row r="22" spans="1:1" x14ac:dyDescent="0.3">
      <c r="A22" t="s">
        <v>17</v>
      </c>
    </row>
    <row r="24" spans="1:1" x14ac:dyDescent="0.3">
      <c r="A24">
        <f>SUM(D3:D9)</f>
        <v>33000</v>
      </c>
    </row>
    <row r="26" spans="1:1" x14ac:dyDescent="0.3">
      <c r="A26" t="s">
        <v>18</v>
      </c>
    </row>
    <row r="28" spans="1:1" x14ac:dyDescent="0.3">
      <c r="A28" t="s">
        <v>20</v>
      </c>
    </row>
    <row r="30" spans="1:1" x14ac:dyDescent="0.3">
      <c r="A30">
        <f>SUM(D3,D5,D7,D9)</f>
        <v>23500</v>
      </c>
    </row>
    <row r="32" spans="1:1" x14ac:dyDescent="0.3">
      <c r="A32" t="s">
        <v>21</v>
      </c>
    </row>
    <row r="34" spans="1:3" x14ac:dyDescent="0.3">
      <c r="A34" t="s">
        <v>22</v>
      </c>
    </row>
    <row r="36" spans="1:3" x14ac:dyDescent="0.3">
      <c r="A36">
        <f>SUM(D3:D9,E3:E9)</f>
        <v>64500</v>
      </c>
    </row>
    <row r="38" spans="1:3" x14ac:dyDescent="0.3">
      <c r="A38" s="3" t="s">
        <v>23</v>
      </c>
    </row>
    <row r="40" spans="1:3" x14ac:dyDescent="0.3">
      <c r="A40" t="s">
        <v>24</v>
      </c>
    </row>
    <row r="42" spans="1:3" x14ac:dyDescent="0.3">
      <c r="A42">
        <f>SUM(D3:D9)</f>
        <v>33000</v>
      </c>
      <c r="B42">
        <v>100</v>
      </c>
      <c r="C42">
        <f>SUM(A42:B42)</f>
        <v>33100</v>
      </c>
    </row>
    <row r="44" spans="1:3" x14ac:dyDescent="0.3">
      <c r="A44">
        <f>SUM(D3:D9,100)</f>
        <v>33100</v>
      </c>
    </row>
    <row r="46" spans="1:3" x14ac:dyDescent="0.3">
      <c r="A46" t="s">
        <v>25</v>
      </c>
    </row>
    <row r="48" spans="1:3" x14ac:dyDescent="0.3">
      <c r="A48" t="s">
        <v>26</v>
      </c>
    </row>
    <row r="49" spans="1:4" x14ac:dyDescent="0.3">
      <c r="A49">
        <v>10</v>
      </c>
    </row>
    <row r="50" spans="1:4" x14ac:dyDescent="0.3">
      <c r="A50">
        <v>20</v>
      </c>
    </row>
    <row r="51" spans="1:4" x14ac:dyDescent="0.3">
      <c r="A51">
        <v>30</v>
      </c>
    </row>
    <row r="52" spans="1:4" x14ac:dyDescent="0.3">
      <c r="A52">
        <v>40</v>
      </c>
    </row>
    <row r="53" spans="1:4" x14ac:dyDescent="0.3">
      <c r="A53">
        <f>SUM(A49:A52)</f>
        <v>100</v>
      </c>
    </row>
    <row r="54" spans="1:4" x14ac:dyDescent="0.3">
      <c r="A54" t="s">
        <v>28</v>
      </c>
    </row>
    <row r="56" spans="1:4" x14ac:dyDescent="0.3">
      <c r="A56" t="s">
        <v>29</v>
      </c>
    </row>
    <row r="58" spans="1:4" x14ac:dyDescent="0.3">
      <c r="A58" t="s">
        <v>30</v>
      </c>
    </row>
    <row r="60" spans="1:4" x14ac:dyDescent="0.3">
      <c r="A60" t="s">
        <v>31</v>
      </c>
    </row>
    <row r="61" spans="1:4" x14ac:dyDescent="0.3">
      <c r="A61">
        <v>10</v>
      </c>
      <c r="B61">
        <v>30</v>
      </c>
      <c r="C61">
        <v>50</v>
      </c>
      <c r="D61">
        <f>SUM(A61:C61)</f>
        <v>90</v>
      </c>
    </row>
    <row r="63" spans="1:4" x14ac:dyDescent="0.3">
      <c r="A63" t="s">
        <v>32</v>
      </c>
    </row>
    <row r="65" spans="1:1" x14ac:dyDescent="0.3">
      <c r="A65" t="s">
        <v>33</v>
      </c>
    </row>
    <row r="66" spans="1:1" x14ac:dyDescent="0.3">
      <c r="A66">
        <v>10</v>
      </c>
    </row>
    <row r="67" spans="1:1" x14ac:dyDescent="0.3">
      <c r="A67">
        <v>20</v>
      </c>
    </row>
    <row r="68" spans="1:1" x14ac:dyDescent="0.3">
      <c r="A68">
        <v>30</v>
      </c>
    </row>
    <row r="69" spans="1:1" x14ac:dyDescent="0.3">
      <c r="A69">
        <v>40</v>
      </c>
    </row>
    <row r="70" spans="1:1" x14ac:dyDescent="0.3">
      <c r="A70">
        <f>SUM(A66:A69)</f>
        <v>100</v>
      </c>
    </row>
    <row r="71" spans="1:1" x14ac:dyDescent="0.3">
      <c r="A71" t="s">
        <v>34</v>
      </c>
    </row>
    <row r="73" spans="1:1" x14ac:dyDescent="0.3">
      <c r="A73" t="s">
        <v>35</v>
      </c>
    </row>
    <row r="74" spans="1:1" x14ac:dyDescent="0.3">
      <c r="A74">
        <v>10</v>
      </c>
    </row>
    <row r="75" spans="1:1" x14ac:dyDescent="0.3">
      <c r="A75">
        <v>20</v>
      </c>
    </row>
    <row r="76" spans="1:1" x14ac:dyDescent="0.3">
      <c r="A76">
        <v>30</v>
      </c>
    </row>
    <row r="77" spans="1:1" x14ac:dyDescent="0.3">
      <c r="A77" t="s">
        <v>36</v>
      </c>
    </row>
    <row r="78" spans="1:1" x14ac:dyDescent="0.3">
      <c r="A78">
        <v>40</v>
      </c>
    </row>
    <row r="79" spans="1:1" x14ac:dyDescent="0.3">
      <c r="A79">
        <v>50</v>
      </c>
    </row>
    <row r="80" spans="1:1" x14ac:dyDescent="0.3">
      <c r="A80">
        <f>SUM(A74:A79)</f>
        <v>150</v>
      </c>
    </row>
    <row r="81" spans="1:19" x14ac:dyDescent="0.3">
      <c r="A81" t="s">
        <v>37</v>
      </c>
    </row>
    <row r="83" spans="1:19" x14ac:dyDescent="0.3">
      <c r="A83" s="2" t="s">
        <v>38</v>
      </c>
      <c r="B83" s="1"/>
      <c r="C83" s="1"/>
      <c r="D83" s="1"/>
      <c r="E83" s="1"/>
      <c r="F83" s="1"/>
      <c r="G83" s="1"/>
      <c r="H83" s="1"/>
      <c r="I83" s="1"/>
      <c r="J83" s="1"/>
      <c r="K83" s="1"/>
      <c r="L83" s="1"/>
      <c r="M83" s="1"/>
      <c r="N83" s="1"/>
      <c r="O83" s="1"/>
      <c r="P83" s="1"/>
      <c r="Q83" s="1"/>
      <c r="R83" s="1"/>
      <c r="S83" s="1"/>
    </row>
    <row r="85" spans="1:19" x14ac:dyDescent="0.3">
      <c r="A85" t="s">
        <v>39</v>
      </c>
    </row>
    <row r="86" spans="1:19" x14ac:dyDescent="0.3">
      <c r="E86" t="s">
        <v>40</v>
      </c>
    </row>
    <row r="87" spans="1:19" x14ac:dyDescent="0.3">
      <c r="A87">
        <v>5000</v>
      </c>
      <c r="B87">
        <v>7000</v>
      </c>
      <c r="C87">
        <v>6000</v>
      </c>
      <c r="D87">
        <v>8000</v>
      </c>
      <c r="E87">
        <f>SUM(A87:D87)</f>
        <v>26000</v>
      </c>
    </row>
    <row r="89" spans="1:19" x14ac:dyDescent="0.3">
      <c r="A89" t="s">
        <v>41</v>
      </c>
    </row>
    <row r="90" spans="1:19" x14ac:dyDescent="0.3">
      <c r="E90" t="s">
        <v>42</v>
      </c>
    </row>
    <row r="91" spans="1:19" x14ac:dyDescent="0.3">
      <c r="A91">
        <v>12000</v>
      </c>
      <c r="B91">
        <v>15000</v>
      </c>
      <c r="C91">
        <v>10000</v>
      </c>
      <c r="D91">
        <v>13000</v>
      </c>
      <c r="E91">
        <f>SUM(A91:D91)</f>
        <v>50000</v>
      </c>
    </row>
    <row r="93" spans="1:19" x14ac:dyDescent="0.3">
      <c r="A93" t="s">
        <v>43</v>
      </c>
    </row>
    <row r="94" spans="1:19" x14ac:dyDescent="0.3">
      <c r="F94" t="s">
        <v>40</v>
      </c>
    </row>
    <row r="95" spans="1:19" x14ac:dyDescent="0.3">
      <c r="A95">
        <v>4000</v>
      </c>
      <c r="B95">
        <v>6000</v>
      </c>
      <c r="C95">
        <v>8000</v>
      </c>
      <c r="D95">
        <v>5000</v>
      </c>
      <c r="E95">
        <v>7000</v>
      </c>
      <c r="F95">
        <f>SUM(A95:E95)</f>
        <v>30000</v>
      </c>
    </row>
    <row r="97" spans="1:7" x14ac:dyDescent="0.3">
      <c r="A97" t="s">
        <v>44</v>
      </c>
    </row>
    <row r="99" spans="1:7" x14ac:dyDescent="0.3">
      <c r="B99" t="s">
        <v>45</v>
      </c>
      <c r="C99" t="s">
        <v>46</v>
      </c>
      <c r="D99" t="s">
        <v>47</v>
      </c>
      <c r="E99" t="s">
        <v>48</v>
      </c>
      <c r="F99" t="s">
        <v>49</v>
      </c>
      <c r="G99" t="s">
        <v>50</v>
      </c>
    </row>
    <row r="100" spans="1:7" x14ac:dyDescent="0.3">
      <c r="B100">
        <v>100000</v>
      </c>
      <c r="C100">
        <v>20000</v>
      </c>
      <c r="D100">
        <v>25000</v>
      </c>
      <c r="E100">
        <v>15000</v>
      </c>
      <c r="F100">
        <v>10000</v>
      </c>
      <c r="G100">
        <f>B100-SUM(C100:F100)</f>
        <v>30000</v>
      </c>
    </row>
    <row r="102" spans="1:7" x14ac:dyDescent="0.3">
      <c r="A102" t="s">
        <v>51</v>
      </c>
    </row>
    <row r="104" spans="1:7" x14ac:dyDescent="0.3">
      <c r="B104" t="s">
        <v>52</v>
      </c>
      <c r="C104" t="s">
        <v>53</v>
      </c>
      <c r="D104" t="s">
        <v>54</v>
      </c>
      <c r="E104" t="s">
        <v>55</v>
      </c>
      <c r="F104" t="s">
        <v>56</v>
      </c>
    </row>
    <row r="105" spans="1:7" x14ac:dyDescent="0.3">
      <c r="B105">
        <v>15000</v>
      </c>
      <c r="C105">
        <v>18000</v>
      </c>
      <c r="D105">
        <v>12000</v>
      </c>
      <c r="E105">
        <v>20000</v>
      </c>
      <c r="F105">
        <f>SUM(B105:E105)</f>
        <v>65000</v>
      </c>
    </row>
    <row r="107" spans="1:7" x14ac:dyDescent="0.3">
      <c r="A107" t="s">
        <v>57</v>
      </c>
    </row>
    <row r="109" spans="1:7" x14ac:dyDescent="0.3">
      <c r="B109" t="s">
        <v>40</v>
      </c>
      <c r="C109" t="s">
        <v>58</v>
      </c>
      <c r="D109" t="s">
        <v>59</v>
      </c>
      <c r="E109" t="s">
        <v>60</v>
      </c>
    </row>
    <row r="110" spans="1:7" x14ac:dyDescent="0.3">
      <c r="B110">
        <v>50000</v>
      </c>
      <c r="C110">
        <v>5000</v>
      </c>
      <c r="D110">
        <v>10000</v>
      </c>
      <c r="E110">
        <f>SUM(B110,D110)-C110</f>
        <v>55000</v>
      </c>
    </row>
    <row r="112" spans="1:7" x14ac:dyDescent="0.3">
      <c r="A112" t="s">
        <v>61</v>
      </c>
    </row>
    <row r="114" spans="1:6" x14ac:dyDescent="0.3">
      <c r="A114" t="s">
        <v>62</v>
      </c>
      <c r="B114" t="s">
        <v>63</v>
      </c>
      <c r="C114" t="s">
        <v>64</v>
      </c>
      <c r="D114" t="s">
        <v>65</v>
      </c>
      <c r="E114" t="s">
        <v>66</v>
      </c>
    </row>
    <row r="115" spans="1:6" x14ac:dyDescent="0.3">
      <c r="B115">
        <v>8000</v>
      </c>
      <c r="C115">
        <v>12000</v>
      </c>
      <c r="D115">
        <v>5000</v>
      </c>
      <c r="E115">
        <f>SUM(B115:D115)</f>
        <v>25000</v>
      </c>
    </row>
    <row r="117" spans="1:6" x14ac:dyDescent="0.3">
      <c r="A117" t="s">
        <v>67</v>
      </c>
    </row>
    <row r="119" spans="1:6" x14ac:dyDescent="0.3">
      <c r="A119" t="s">
        <v>3</v>
      </c>
      <c r="B119" t="s">
        <v>68</v>
      </c>
      <c r="C119" t="s">
        <v>69</v>
      </c>
      <c r="D119" t="s">
        <v>70</v>
      </c>
      <c r="E119" t="s">
        <v>56</v>
      </c>
    </row>
    <row r="120" spans="1:6" x14ac:dyDescent="0.3">
      <c r="B120">
        <v>25000</v>
      </c>
      <c r="C120">
        <v>30000</v>
      </c>
      <c r="D120">
        <v>45000</v>
      </c>
      <c r="E120">
        <f>SUM(B120:D120)</f>
        <v>100000</v>
      </c>
    </row>
    <row r="122" spans="1:6" x14ac:dyDescent="0.3">
      <c r="A122" t="s">
        <v>71</v>
      </c>
    </row>
    <row r="124" spans="1:6" x14ac:dyDescent="0.3">
      <c r="B124" t="s">
        <v>72</v>
      </c>
      <c r="C124" t="s">
        <v>73</v>
      </c>
      <c r="D124" t="s">
        <v>74</v>
      </c>
      <c r="E124" t="s">
        <v>75</v>
      </c>
      <c r="F124" t="s">
        <v>76</v>
      </c>
    </row>
    <row r="125" spans="1:6" x14ac:dyDescent="0.3">
      <c r="B125">
        <v>250000</v>
      </c>
      <c r="C125">
        <v>80000</v>
      </c>
      <c r="D125">
        <v>60000</v>
      </c>
      <c r="E125">
        <v>40000</v>
      </c>
      <c r="F125">
        <f>B125-SUM(C125:E125)</f>
        <v>70000</v>
      </c>
    </row>
    <row r="127" spans="1:6" x14ac:dyDescent="0.3">
      <c r="A127" t="s">
        <v>77</v>
      </c>
    </row>
    <row r="129" spans="1:19" x14ac:dyDescent="0.3">
      <c r="A129" t="s">
        <v>78</v>
      </c>
      <c r="B129" t="s">
        <v>79</v>
      </c>
      <c r="C129" t="s">
        <v>80</v>
      </c>
      <c r="D129" t="s">
        <v>81</v>
      </c>
      <c r="E129" t="s">
        <v>82</v>
      </c>
      <c r="F129" t="s">
        <v>83</v>
      </c>
      <c r="G129" t="s">
        <v>84</v>
      </c>
    </row>
    <row r="130" spans="1:19" x14ac:dyDescent="0.3">
      <c r="B130">
        <v>120</v>
      </c>
      <c r="C130">
        <v>150</v>
      </c>
      <c r="D130">
        <v>180</v>
      </c>
      <c r="E130">
        <v>200</v>
      </c>
      <c r="F130">
        <v>250</v>
      </c>
      <c r="G130">
        <f>SUM(B130:F130)</f>
        <v>900</v>
      </c>
    </row>
    <row r="132" spans="1:19" x14ac:dyDescent="0.3">
      <c r="A132" s="2" t="s">
        <v>85</v>
      </c>
      <c r="B132" s="1"/>
      <c r="C132" s="1"/>
      <c r="D132" s="1"/>
      <c r="E132" s="1"/>
      <c r="F132" s="1"/>
      <c r="G132" s="1"/>
      <c r="H132" s="1"/>
      <c r="I132" s="1"/>
      <c r="J132" s="1"/>
      <c r="K132" s="1"/>
      <c r="L132" s="1"/>
      <c r="M132" s="1"/>
      <c r="N132" s="1"/>
      <c r="O132" s="1"/>
      <c r="P132" s="1"/>
      <c r="Q132" s="1"/>
      <c r="R132" s="1"/>
      <c r="S132" s="1"/>
    </row>
    <row r="134" spans="1:19" x14ac:dyDescent="0.3">
      <c r="A134" t="s">
        <v>86</v>
      </c>
    </row>
    <row r="135" spans="1:19" ht="15" thickBot="1" x14ac:dyDescent="0.35"/>
    <row r="136" spans="1:19" x14ac:dyDescent="0.3">
      <c r="A136" s="5" t="s">
        <v>5</v>
      </c>
      <c r="B136" s="6" t="s">
        <v>1</v>
      </c>
      <c r="C136" s="6" t="s">
        <v>2</v>
      </c>
      <c r="D136" s="6" t="s">
        <v>3</v>
      </c>
      <c r="E136" s="7" t="s">
        <v>4</v>
      </c>
    </row>
    <row r="137" spans="1:19" x14ac:dyDescent="0.3">
      <c r="A137" s="8">
        <v>1</v>
      </c>
      <c r="B137" s="4" t="s">
        <v>6</v>
      </c>
      <c r="C137" s="4" t="s">
        <v>3</v>
      </c>
      <c r="D137" s="4">
        <v>5000</v>
      </c>
      <c r="E137" s="9">
        <v>4000</v>
      </c>
    </row>
    <row r="138" spans="1:19" x14ac:dyDescent="0.3">
      <c r="A138" s="8">
        <v>2</v>
      </c>
      <c r="B138" s="4" t="s">
        <v>7</v>
      </c>
      <c r="C138" s="4" t="s">
        <v>8</v>
      </c>
      <c r="D138" s="4">
        <v>3000</v>
      </c>
      <c r="E138" s="9">
        <v>3500</v>
      </c>
    </row>
    <row r="139" spans="1:19" x14ac:dyDescent="0.3">
      <c r="A139" s="8">
        <v>3</v>
      </c>
      <c r="B139" s="4" t="s">
        <v>9</v>
      </c>
      <c r="C139" s="4" t="s">
        <v>3</v>
      </c>
      <c r="D139" s="4">
        <v>7000</v>
      </c>
      <c r="E139" s="9">
        <v>6000</v>
      </c>
    </row>
    <row r="140" spans="1:19" x14ac:dyDescent="0.3">
      <c r="A140" s="8">
        <v>4</v>
      </c>
      <c r="B140" s="4" t="s">
        <v>10</v>
      </c>
      <c r="C140" s="4" t="s">
        <v>11</v>
      </c>
      <c r="D140" s="4">
        <v>4000</v>
      </c>
      <c r="E140" s="9">
        <v>4500</v>
      </c>
    </row>
    <row r="141" spans="1:19" x14ac:dyDescent="0.3">
      <c r="A141" s="8">
        <v>5</v>
      </c>
      <c r="B141" s="4" t="s">
        <v>12</v>
      </c>
      <c r="C141" s="4" t="s">
        <v>3</v>
      </c>
      <c r="D141" s="4">
        <v>6000</v>
      </c>
      <c r="E141" s="9">
        <v>5500</v>
      </c>
    </row>
    <row r="142" spans="1:19" x14ac:dyDescent="0.3">
      <c r="A142" s="8">
        <v>6</v>
      </c>
      <c r="B142" s="4" t="s">
        <v>13</v>
      </c>
      <c r="C142" s="4" t="s">
        <v>8</v>
      </c>
      <c r="D142" s="4">
        <v>2500</v>
      </c>
      <c r="E142" s="9">
        <v>3000</v>
      </c>
    </row>
    <row r="143" spans="1:19" ht="15" thickBot="1" x14ac:dyDescent="0.35">
      <c r="A143" s="10">
        <v>7</v>
      </c>
      <c r="B143" s="11" t="s">
        <v>14</v>
      </c>
      <c r="C143" s="11" t="s">
        <v>11</v>
      </c>
      <c r="D143" s="11">
        <v>5500</v>
      </c>
      <c r="E143" s="12">
        <v>5000</v>
      </c>
    </row>
    <row r="145" spans="1:3" x14ac:dyDescent="0.3">
      <c r="B145" t="s">
        <v>56</v>
      </c>
    </row>
    <row r="146" spans="1:3" x14ac:dyDescent="0.3">
      <c r="B146">
        <f>SUM(D137:D143)</f>
        <v>33000</v>
      </c>
    </row>
    <row r="147" spans="1:3" x14ac:dyDescent="0.3">
      <c r="C147" s="3"/>
    </row>
    <row r="148" spans="1:3" x14ac:dyDescent="0.3">
      <c r="A148" t="s">
        <v>87</v>
      </c>
    </row>
    <row r="150" spans="1:3" x14ac:dyDescent="0.3">
      <c r="A150" t="s">
        <v>88</v>
      </c>
    </row>
    <row r="152" spans="1:3" x14ac:dyDescent="0.3">
      <c r="B152" t="s">
        <v>89</v>
      </c>
    </row>
    <row r="153" spans="1:3" x14ac:dyDescent="0.3">
      <c r="B153">
        <f>SUM(D140,D143)</f>
        <v>9500</v>
      </c>
    </row>
    <row r="154" spans="1:3" x14ac:dyDescent="0.3">
      <c r="B154">
        <f>SUMIF(C137:C143,"IT",D137:D143)</f>
        <v>9500</v>
      </c>
    </row>
    <row r="155" spans="1:3" x14ac:dyDescent="0.3">
      <c r="A155" t="s">
        <v>90</v>
      </c>
    </row>
    <row r="157" spans="1:3" x14ac:dyDescent="0.3">
      <c r="A157" t="s">
        <v>91</v>
      </c>
    </row>
    <row r="159" spans="1:3" x14ac:dyDescent="0.3">
      <c r="B159" t="s">
        <v>56</v>
      </c>
    </row>
    <row r="160" spans="1:3" x14ac:dyDescent="0.3">
      <c r="B160">
        <f>SUM(D139,D141,D143)</f>
        <v>18500</v>
      </c>
    </row>
    <row r="161" spans="1:4" x14ac:dyDescent="0.3">
      <c r="B161">
        <f>SUMIF(D137:D143,"&gt;5000",D137:D143)</f>
        <v>18500</v>
      </c>
    </row>
    <row r="163" spans="1:4" x14ac:dyDescent="0.3">
      <c r="A163" t="s">
        <v>92</v>
      </c>
    </row>
    <row r="165" spans="1:4" x14ac:dyDescent="0.3">
      <c r="A165" t="s">
        <v>93</v>
      </c>
    </row>
    <row r="167" spans="1:4" x14ac:dyDescent="0.3">
      <c r="B167" t="s">
        <v>56</v>
      </c>
      <c r="C167" t="s">
        <v>89</v>
      </c>
      <c r="D167" t="s">
        <v>27</v>
      </c>
    </row>
    <row r="168" spans="1:4" x14ac:dyDescent="0.3">
      <c r="B168">
        <f>SUMIF(C137:C143,"Sales",D137:D143)</f>
        <v>18000</v>
      </c>
      <c r="C168">
        <f>SUMIF(C137:C143,"IT",D137:D143)</f>
        <v>9500</v>
      </c>
      <c r="D168">
        <f>SUM(B168:C168)</f>
        <v>27500</v>
      </c>
    </row>
    <row r="170" spans="1:4" x14ac:dyDescent="0.3">
      <c r="A170" t="s">
        <v>94</v>
      </c>
    </row>
    <row r="172" spans="1:4" x14ac:dyDescent="0.3">
      <c r="B172" t="s">
        <v>27</v>
      </c>
    </row>
    <row r="173" spans="1:4" x14ac:dyDescent="0.3">
      <c r="B173">
        <f>SUMIF(D137:D143,"&gt;=5000",D137:D143)</f>
        <v>23500</v>
      </c>
    </row>
    <row r="175" spans="1:4" x14ac:dyDescent="0.3">
      <c r="A175" t="s">
        <v>95</v>
      </c>
    </row>
    <row r="176" spans="1:4" x14ac:dyDescent="0.3">
      <c r="B176" t="s">
        <v>56</v>
      </c>
      <c r="C176" t="s">
        <v>56</v>
      </c>
    </row>
    <row r="177" spans="1:3" x14ac:dyDescent="0.3">
      <c r="B177">
        <f>SUMIFS(D137:D143,C137:C143,"Sales",D137:D143,"&gt;5000")</f>
        <v>13000</v>
      </c>
    </row>
    <row r="179" spans="1:3" x14ac:dyDescent="0.3">
      <c r="A179" t="s">
        <v>96</v>
      </c>
    </row>
    <row r="180" spans="1:3" x14ac:dyDescent="0.3">
      <c r="C180" t="s">
        <v>56</v>
      </c>
    </row>
    <row r="181" spans="1:3" x14ac:dyDescent="0.3">
      <c r="C181">
        <f>SUM(D137:D143,E137:E143)</f>
        <v>64500</v>
      </c>
    </row>
    <row r="182" spans="1:3" x14ac:dyDescent="0.3">
      <c r="A182" t="s">
        <v>97</v>
      </c>
    </row>
    <row r="184" spans="1:3" x14ac:dyDescent="0.3">
      <c r="A184">
        <v>100</v>
      </c>
    </row>
    <row r="185" spans="1:3" x14ac:dyDescent="0.3">
      <c r="A185">
        <v>200</v>
      </c>
    </row>
    <row r="186" spans="1:3" x14ac:dyDescent="0.3">
      <c r="A186">
        <v>300</v>
      </c>
    </row>
    <row r="187" spans="1:3" x14ac:dyDescent="0.3">
      <c r="A187">
        <v>400</v>
      </c>
    </row>
    <row r="188" spans="1:3" x14ac:dyDescent="0.3">
      <c r="A188">
        <v>500</v>
      </c>
    </row>
    <row r="189" spans="1:3" x14ac:dyDescent="0.3">
      <c r="A189">
        <f>SUM(A184:A185,A187:A188)</f>
        <v>1200</v>
      </c>
    </row>
    <row r="191" spans="1:3" x14ac:dyDescent="0.3">
      <c r="A191" t="s">
        <v>98</v>
      </c>
    </row>
    <row r="192" spans="1:3" x14ac:dyDescent="0.3">
      <c r="A192" t="s">
        <v>68</v>
      </c>
      <c r="B192">
        <v>1000</v>
      </c>
    </row>
    <row r="193" spans="1:3" x14ac:dyDescent="0.3">
      <c r="A193" t="s">
        <v>69</v>
      </c>
      <c r="B193">
        <v>2000</v>
      </c>
    </row>
    <row r="194" spans="1:3" x14ac:dyDescent="0.3">
      <c r="A194" t="s">
        <v>70</v>
      </c>
      <c r="B194">
        <v>3000</v>
      </c>
    </row>
    <row r="195" spans="1:3" x14ac:dyDescent="0.3">
      <c r="A195" t="s">
        <v>99</v>
      </c>
      <c r="B195">
        <v>4000</v>
      </c>
    </row>
    <row r="196" spans="1:3" x14ac:dyDescent="0.3">
      <c r="A196" t="s">
        <v>100</v>
      </c>
      <c r="B196">
        <v>5000</v>
      </c>
    </row>
    <row r="197" spans="1:3" x14ac:dyDescent="0.3">
      <c r="A197" t="s">
        <v>101</v>
      </c>
      <c r="B197">
        <v>6000</v>
      </c>
    </row>
    <row r="198" spans="1:3" x14ac:dyDescent="0.3">
      <c r="A198" t="s">
        <v>102</v>
      </c>
      <c r="B198">
        <v>7000</v>
      </c>
    </row>
    <row r="199" spans="1:3" x14ac:dyDescent="0.3">
      <c r="A199" t="s">
        <v>103</v>
      </c>
      <c r="B199">
        <v>8000</v>
      </c>
    </row>
    <row r="200" spans="1:3" x14ac:dyDescent="0.3">
      <c r="A200" t="s">
        <v>104</v>
      </c>
      <c r="B200">
        <v>9000</v>
      </c>
    </row>
    <row r="201" spans="1:3" x14ac:dyDescent="0.3">
      <c r="A201" t="s">
        <v>105</v>
      </c>
      <c r="B201">
        <v>10000</v>
      </c>
    </row>
    <row r="202" spans="1:3" x14ac:dyDescent="0.3">
      <c r="A202" t="s">
        <v>106</v>
      </c>
      <c r="B202">
        <v>11000</v>
      </c>
    </row>
    <row r="203" spans="1:3" x14ac:dyDescent="0.3">
      <c r="A203" t="s">
        <v>107</v>
      </c>
      <c r="B203">
        <v>12000</v>
      </c>
    </row>
    <row r="204" spans="1:3" x14ac:dyDescent="0.3">
      <c r="B204">
        <f>SUM(B192:B197)</f>
        <v>21000</v>
      </c>
    </row>
    <row r="205" spans="1:3" x14ac:dyDescent="0.3">
      <c r="A205" t="s">
        <v>108</v>
      </c>
    </row>
    <row r="207" spans="1:3" x14ac:dyDescent="0.3">
      <c r="A207" t="s">
        <v>111</v>
      </c>
    </row>
    <row r="208" spans="1:3" x14ac:dyDescent="0.3">
      <c r="B208" t="s">
        <v>109</v>
      </c>
      <c r="C208" t="s">
        <v>110</v>
      </c>
    </row>
    <row r="209" spans="1:19" x14ac:dyDescent="0.3">
      <c r="B209">
        <v>1000</v>
      </c>
      <c r="C209">
        <v>100</v>
      </c>
    </row>
    <row r="210" spans="1:19" x14ac:dyDescent="0.3">
      <c r="B210">
        <v>2000</v>
      </c>
      <c r="C210">
        <v>200</v>
      </c>
    </row>
    <row r="211" spans="1:19" x14ac:dyDescent="0.3">
      <c r="B211">
        <v>3000</v>
      </c>
      <c r="C211">
        <v>300</v>
      </c>
    </row>
    <row r="212" spans="1:19" x14ac:dyDescent="0.3">
      <c r="B212">
        <v>4000</v>
      </c>
      <c r="C212">
        <v>400</v>
      </c>
    </row>
    <row r="213" spans="1:19" x14ac:dyDescent="0.3">
      <c r="B213">
        <v>5000</v>
      </c>
      <c r="C213">
        <v>500</v>
      </c>
    </row>
    <row r="214" spans="1:19" x14ac:dyDescent="0.3">
      <c r="B214">
        <v>6000</v>
      </c>
      <c r="C214">
        <v>600</v>
      </c>
    </row>
    <row r="215" spans="1:19" x14ac:dyDescent="0.3">
      <c r="B215">
        <v>7000</v>
      </c>
      <c r="C215">
        <v>700</v>
      </c>
    </row>
    <row r="216" spans="1:19" x14ac:dyDescent="0.3">
      <c r="B216">
        <v>8000</v>
      </c>
      <c r="C216">
        <v>800</v>
      </c>
    </row>
    <row r="217" spans="1:19" x14ac:dyDescent="0.3">
      <c r="B217">
        <v>9000</v>
      </c>
      <c r="C217">
        <v>900</v>
      </c>
    </row>
    <row r="218" spans="1:19" x14ac:dyDescent="0.3">
      <c r="B218">
        <v>10000</v>
      </c>
      <c r="C218">
        <v>1000</v>
      </c>
    </row>
    <row r="219" spans="1:19" x14ac:dyDescent="0.3">
      <c r="B219">
        <f>SUM(B209:B218)</f>
        <v>55000</v>
      </c>
      <c r="C219">
        <f>SUM(C209:C218)</f>
        <v>5500</v>
      </c>
      <c r="D219">
        <f>B219-C219</f>
        <v>49500</v>
      </c>
    </row>
    <row r="221" spans="1:19" x14ac:dyDescent="0.3">
      <c r="A221" t="s">
        <v>112</v>
      </c>
    </row>
    <row r="223" spans="1:19" x14ac:dyDescent="0.3">
      <c r="A223" s="2" t="s">
        <v>113</v>
      </c>
      <c r="B223" s="1"/>
      <c r="C223" s="1"/>
      <c r="D223" s="1"/>
      <c r="E223" s="1"/>
      <c r="F223" s="1"/>
      <c r="G223" s="1"/>
      <c r="H223" s="1"/>
      <c r="I223" s="1"/>
      <c r="J223" s="1"/>
      <c r="K223" s="1"/>
      <c r="L223" s="1"/>
      <c r="M223" s="1"/>
      <c r="N223" s="1"/>
      <c r="O223" s="1"/>
      <c r="P223" s="1"/>
      <c r="Q223" s="1"/>
      <c r="R223" s="1"/>
      <c r="S223" s="1"/>
    </row>
    <row r="225" spans="1:1" x14ac:dyDescent="0.3">
      <c r="A225" t="s">
        <v>114</v>
      </c>
    </row>
    <row r="227" spans="1:1" x14ac:dyDescent="0.3">
      <c r="A227" t="s">
        <v>115</v>
      </c>
    </row>
    <row r="228" spans="1:1" x14ac:dyDescent="0.3">
      <c r="A228" t="s">
        <v>116</v>
      </c>
    </row>
    <row r="230" spans="1:1" x14ac:dyDescent="0.3">
      <c r="A230" t="s">
        <v>117</v>
      </c>
    </row>
    <row r="232" spans="1:1" x14ac:dyDescent="0.3">
      <c r="A232" t="s">
        <v>118</v>
      </c>
    </row>
    <row r="233" spans="1:1" x14ac:dyDescent="0.3">
      <c r="A233" t="s">
        <v>119</v>
      </c>
    </row>
    <row r="235" spans="1:1" x14ac:dyDescent="0.3">
      <c r="A235" t="s">
        <v>120</v>
      </c>
    </row>
    <row r="237" spans="1:1" x14ac:dyDescent="0.3">
      <c r="A237" t="s">
        <v>121</v>
      </c>
    </row>
    <row r="239" spans="1:1" x14ac:dyDescent="0.3">
      <c r="A239" t="s">
        <v>122</v>
      </c>
    </row>
    <row r="240" spans="1:1" x14ac:dyDescent="0.3">
      <c r="A240">
        <v>10</v>
      </c>
    </row>
    <row r="241" spans="1:1" x14ac:dyDescent="0.3">
      <c r="A241">
        <v>20</v>
      </c>
    </row>
    <row r="242" spans="1:1" x14ac:dyDescent="0.3">
      <c r="A242">
        <v>30</v>
      </c>
    </row>
    <row r="243" spans="1:1" x14ac:dyDescent="0.3">
      <c r="A243">
        <v>40</v>
      </c>
    </row>
    <row r="244" spans="1:1" x14ac:dyDescent="0.3">
      <c r="A244">
        <v>50</v>
      </c>
    </row>
    <row r="245" spans="1:1" x14ac:dyDescent="0.3">
      <c r="A245">
        <v>60</v>
      </c>
    </row>
    <row r="246" spans="1:1" x14ac:dyDescent="0.3">
      <c r="A246">
        <v>70</v>
      </c>
    </row>
    <row r="247" spans="1:1" x14ac:dyDescent="0.3">
      <c r="A247">
        <v>80</v>
      </c>
    </row>
    <row r="248" spans="1:1" x14ac:dyDescent="0.3">
      <c r="A248" t="s">
        <v>123</v>
      </c>
    </row>
    <row r="249" spans="1:1" x14ac:dyDescent="0.3">
      <c r="A249">
        <f>_xlfn.AGGREGATE(9,6,A240:A248)</f>
        <v>360</v>
      </c>
    </row>
    <row r="251" spans="1:1" x14ac:dyDescent="0.3">
      <c r="A251" t="s">
        <v>124</v>
      </c>
    </row>
    <row r="253" spans="1:1" x14ac:dyDescent="0.3">
      <c r="A253" t="s">
        <v>125</v>
      </c>
    </row>
    <row r="255" spans="1:1" x14ac:dyDescent="0.3">
      <c r="A255" t="s">
        <v>126</v>
      </c>
    </row>
    <row r="257" spans="1:3" x14ac:dyDescent="0.3">
      <c r="B257">
        <f>SUMIFS(D137:D143,C137:C143,"Sales",D137:D143,"&gt;=4000",D137:D143,"&lt;=6000")</f>
        <v>11000</v>
      </c>
    </row>
    <row r="259" spans="1:3" x14ac:dyDescent="0.3">
      <c r="A259" t="s">
        <v>127</v>
      </c>
    </row>
    <row r="261" spans="1:3" x14ac:dyDescent="0.3">
      <c r="A261" t="s">
        <v>128</v>
      </c>
    </row>
    <row r="263" spans="1:3" x14ac:dyDescent="0.3">
      <c r="A263" t="s">
        <v>129</v>
      </c>
    </row>
    <row r="265" spans="1:3" x14ac:dyDescent="0.3">
      <c r="C265">
        <f>SUMIF(B137:B143,"A*",D137:D143)</f>
        <v>10500</v>
      </c>
    </row>
    <row r="267" spans="1:3" x14ac:dyDescent="0.3">
      <c r="A267" t="s">
        <v>130</v>
      </c>
    </row>
    <row r="269" spans="1:3" x14ac:dyDescent="0.3">
      <c r="C269">
        <f>SUMIF(C137:C143,"&lt;&gt;HR",D137:D143)</f>
        <v>27500</v>
      </c>
    </row>
    <row r="271" spans="1:3" x14ac:dyDescent="0.3">
      <c r="A271" t="s">
        <v>131</v>
      </c>
    </row>
    <row r="273" spans="1:1" x14ac:dyDescent="0.3">
      <c r="A273" t="s">
        <v>132</v>
      </c>
    </row>
  </sheetData>
  <mergeCells count="5">
    <mergeCell ref="A1:S1"/>
    <mergeCell ref="A12:S12"/>
    <mergeCell ref="A83:S83"/>
    <mergeCell ref="A132:S132"/>
    <mergeCell ref="A223:S22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 Pujari</dc:creator>
  <cp:lastModifiedBy>Parag Pujari</cp:lastModifiedBy>
  <dcterms:created xsi:type="dcterms:W3CDTF">2026-10-12T07:19:42Z</dcterms:created>
  <dcterms:modified xsi:type="dcterms:W3CDTF">2026-10-12T11:52:11Z</dcterms:modified>
</cp:coreProperties>
</file>